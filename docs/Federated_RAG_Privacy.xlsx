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o sánh tiêu chí" sheetId="1" state="visible" r:id="rId1"/>
    <sheet xmlns:r="http://schemas.openxmlformats.org/officeDocument/2006/relationships" name="Khung tiêu chí đánh giá" sheetId="2" state="visible" r:id="rId2"/>
    <sheet xmlns:r="http://schemas.openxmlformats.org/officeDocument/2006/relationships" name="Khung 1 — Chi tiết" sheetId="3" state="visible" r:id="rId3"/>
  </sheets>
  <definedNames/>
  <calcPr calcId="124519" fullCalcOnLoad="1"/>
</workbook>
</file>

<file path=xl/styles.xml><?xml version="1.0" encoding="utf-8"?>
<styleSheet xmlns="http://schemas.openxmlformats.org/spreadsheetml/2006/main">
  <numFmts count="1">
    <numFmt numFmtId="164" formatCode="0.0000E+00"/>
  </numFmts>
  <fonts count="43">
    <font>
      <name val="Calibri"/>
      <color theme="1"/>
      <sz val="11"/>
      <scheme val="minor"/>
    </font>
    <font>
      <name val="Times New Roman"/>
      <b val="1"/>
      <color theme="1"/>
      <sz val="13"/>
    </font>
    <font/>
    <font>
      <name val="Times New Roman"/>
      <color theme="1"/>
      <sz val="13"/>
    </font>
    <font>
      <name val="Calibri"/>
      <color theme="1"/>
      <scheme val="minor"/>
    </font>
    <font>
      <color rgb="FF0000FF"/>
      <u val="single"/>
    </font>
    <font>
      <name val="Times New Roman"/>
      <color rgb="FF0000FF"/>
      <sz val="13"/>
      <u val="single"/>
    </font>
    <font>
      <name val="Times New Roman"/>
      <color rgb="FF000000"/>
      <sz val="13"/>
    </font>
    <font>
      <name val="Times New Roman"/>
      <b val="1"/>
      <color theme="1"/>
      <sz val="16"/>
    </font>
    <font>
      <name val="Times New Roman"/>
      <b val="1"/>
      <color theme="1"/>
      <sz val="15"/>
    </font>
    <font>
      <name val="Times New Roman"/>
      <color theme="1"/>
      <sz val="14"/>
    </font>
    <font>
      <name val="&quot;Google Sans Text&quot;"/>
      <b val="1"/>
      <color rgb="FF1F1F1F"/>
    </font>
    <font>
      <name val="&quot;Google Sans Text&quot;"/>
      <color rgb="FF1F1F1F"/>
    </font>
    <font>
      <name val="Times New Roman"/>
      <b val="1"/>
      <color theme="1"/>
      <sz val="14"/>
    </font>
    <font>
      <name val="Calibri"/>
      <color theme="1"/>
      <sz val="13"/>
      <scheme val="minor"/>
    </font>
    <font>
      <name val="Calibri"/>
      <b val="1"/>
      <color rgb="00FFFFFF"/>
      <sz val="15"/>
    </font>
    <font>
      <name val="Calibri"/>
      <color rgb="001F1F1F"/>
      <sz val="10"/>
    </font>
    <font>
      <name val="Calibri"/>
      <b val="1"/>
      <color rgb="001F1F1F"/>
      <sz val="13"/>
    </font>
    <font>
      <name val="Calibri"/>
      <color rgb="00000000"/>
      <sz val="11"/>
    </font>
    <font>
      <name val="Calibri"/>
      <color rgb="007F6000"/>
      <sz val="11"/>
    </font>
    <font>
      <name val="Calibri"/>
      <b val="1"/>
      <color rgb="00FFFFFF"/>
      <sz val="11"/>
    </font>
    <font>
      <name val="Calibri"/>
      <b val="1"/>
      <sz val="11"/>
    </font>
    <font>
      <name val="Calibri"/>
      <sz val="11"/>
    </font>
    <font>
      <name val="Calibri"/>
      <b val="1"/>
      <color rgb="00000000"/>
      <sz val="11"/>
    </font>
    <font>
      <name val="Calibri"/>
      <b val="1"/>
      <color rgb="009C0006"/>
      <sz val="11"/>
    </font>
    <font>
      <name val="Calibri"/>
      <color rgb="009C0006"/>
      <sz val="11"/>
    </font>
    <font>
      <name val="Calibri"/>
      <b val="1"/>
      <color rgb="00006100"/>
      <sz val="11"/>
    </font>
    <font>
      <name val="Calibri"/>
      <color rgb="00006100"/>
      <sz val="11"/>
    </font>
    <font>
      <name val="Calibri"/>
      <b val="1"/>
      <color rgb="00000000"/>
      <sz val="10"/>
    </font>
    <font>
      <name val="Calibri"/>
      <b val="1"/>
      <color rgb="009C6500"/>
      <sz val="11"/>
    </font>
    <font>
      <name val="Calibri"/>
      <color rgb="009C6500"/>
      <sz val="11"/>
    </font>
    <font>
      <name val="Calibri"/>
      <b val="1"/>
      <color rgb="00FFFFFF"/>
      <sz val="10"/>
    </font>
    <font>
      <name val="Calibri"/>
      <sz val="10"/>
    </font>
    <font>
      <name val="Calibri"/>
      <i val="1"/>
      <color rgb="00595959"/>
      <sz val="9"/>
    </font>
    <font>
      <name val="Calibri"/>
      <color rgb="00595959"/>
      <sz val="11"/>
    </font>
    <font>
      <name val="Calibri"/>
      <color rgb="00000000"/>
      <sz val="10"/>
    </font>
    <font>
      <name val="Calibri"/>
      <b val="1"/>
      <color rgb="009C0006"/>
      <sz val="10"/>
    </font>
    <font>
      <name val="Calibri"/>
      <color rgb="009C0006"/>
      <sz val="10"/>
    </font>
    <font>
      <name val="Calibri"/>
      <b val="1"/>
      <color rgb="00006100"/>
      <sz val="10"/>
    </font>
    <font>
      <name val="Calibri"/>
      <color rgb="00006100"/>
      <sz val="10"/>
    </font>
    <font>
      <name val="Calibri"/>
      <b val="1"/>
      <sz val="10"/>
    </font>
    <font>
      <name val="Calibri"/>
      <b val="1"/>
      <color rgb="00595959"/>
      <sz val="10"/>
    </font>
    <font>
      <name val="Calibri"/>
      <color rgb="00595959"/>
      <sz val="10"/>
    </font>
  </fonts>
  <fills count="15">
    <fill>
      <patternFill/>
    </fill>
    <fill>
      <patternFill patternType="lightGray"/>
    </fill>
    <fill>
      <patternFill patternType="solid">
        <fgColor rgb="FFC9DAF8"/>
        <bgColor rgb="FFC9DAF8"/>
      </patternFill>
    </fill>
    <fill>
      <patternFill patternType="solid">
        <fgColor rgb="FFA4C2F4"/>
        <bgColor rgb="FFA4C2F4"/>
      </patternFill>
    </fill>
    <fill>
      <patternFill patternType="solid">
        <fgColor rgb="001F3864"/>
      </patternFill>
    </fill>
    <fill>
      <patternFill patternType="solid">
        <fgColor rgb="00D9E6FB"/>
      </patternFill>
    </fill>
    <fill>
      <patternFill patternType="solid">
        <fgColor rgb="00A4C2F4"/>
      </patternFill>
    </fill>
    <fill>
      <patternFill patternType="solid">
        <fgColor rgb="00FFF2CC"/>
      </patternFill>
    </fill>
    <fill>
      <patternFill patternType="solid">
        <fgColor rgb="002E5496"/>
      </patternFill>
    </fill>
    <fill>
      <patternFill patternType="solid">
        <fgColor rgb="00FFFFFF"/>
      </patternFill>
    </fill>
    <fill>
      <patternFill patternType="solid">
        <fgColor rgb="00F2F2F2"/>
      </patternFill>
    </fill>
    <fill>
      <patternFill patternType="solid">
        <fgColor rgb="00FFC7CE"/>
      </patternFill>
    </fill>
    <fill>
      <patternFill patternType="solid">
        <fgColor rgb="00C6EFCE"/>
      </patternFill>
    </fill>
    <fill>
      <patternFill patternType="solid">
        <fgColor rgb="00FFEB9C"/>
      </patternFill>
    </fill>
    <fill>
      <patternFill patternType="solid">
        <fgColor rgb="00EDEDED"/>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top style="thin">
        <color rgb="FF000000"/>
      </top>
    </border>
    <border>
      <right style="thin">
        <color rgb="FF000000"/>
      </right>
      <top style="thin">
        <color rgb="FF000000"/>
      </top>
    </border>
    <border>
      <left style="thin">
        <color rgb="00BFBFBF"/>
      </left>
      <right style="thin">
        <color rgb="00BFBFBF"/>
      </right>
      <top style="thin">
        <color rgb="00BFBFBF"/>
      </top>
      <bottom style="thin">
        <color rgb="00BFBFBF"/>
      </bottom>
    </border>
    <border>
      <top style="thin">
        <color rgb="00BFBFBF"/>
      </top>
    </border>
    <border>
      <right style="thin">
        <color rgb="00BFBFBF"/>
      </right>
      <top style="thin">
        <color rgb="00BFBFBF"/>
      </top>
    </border>
    <border>
      <right style="thin">
        <color rgb="00BFBFBF"/>
      </right>
      <top style="thin">
        <color rgb="00BFBFBF"/>
      </top>
      <bottom style="thin">
        <color rgb="00BFBFBF"/>
      </bottom>
    </border>
    <border>
      <top style="thin">
        <color rgb="00BFBFBF"/>
      </top>
      <bottom style="thin">
        <color rgb="00BFBFBF"/>
      </bottom>
    </border>
  </borders>
  <cellStyleXfs count="1">
    <xf numFmtId="0" fontId="0" fillId="0" borderId="0"/>
  </cellStyleXfs>
  <cellXfs count="108">
    <xf numFmtId="0" fontId="0" fillId="0" borderId="0" applyAlignment="1" pivotButton="0" quotePrefix="0" xfId="0">
      <alignment vertical="bottom"/>
    </xf>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1" fillId="2" borderId="2" applyAlignment="1" pivotButton="0" quotePrefix="0" xfId="0">
      <alignment horizontal="center" vertical="center" wrapText="1"/>
    </xf>
    <xf numFmtId="0" fontId="2" fillId="0" borderId="3" pivotButton="0" quotePrefix="0" xfId="0"/>
    <xf numFmtId="0" fontId="2" fillId="0" borderId="4" pivotButton="0" quotePrefix="0" xfId="0"/>
    <xf numFmtId="0" fontId="1" fillId="2" borderId="2" applyAlignment="1" pivotButton="0" quotePrefix="0" xfId="0">
      <alignment horizontal="center" vertical="center"/>
    </xf>
    <xf numFmtId="0" fontId="2" fillId="0" borderId="5" pivotButton="0" quotePrefix="0" xfId="0"/>
    <xf numFmtId="0" fontId="1" fillId="2" borderId="6" applyAlignment="1" pivotButton="0" quotePrefix="0" xfId="0">
      <alignment horizontal="center" vertical="center" wrapText="1"/>
    </xf>
    <xf numFmtId="0" fontId="1" fillId="2" borderId="6" applyAlignment="1" pivotButton="0" quotePrefix="0" xfId="0">
      <alignment horizontal="center"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3" fillId="2" borderId="6" applyAlignment="1" pivotButton="0" quotePrefix="0" xfId="0">
      <alignment vertical="center" wrapText="1"/>
    </xf>
    <xf numFmtId="0" fontId="3" fillId="0" borderId="6" applyAlignment="1" pivotButton="0" quotePrefix="0" xfId="0">
      <alignment vertical="center" wrapText="1"/>
    </xf>
    <xf numFmtId="0" fontId="3" fillId="0" borderId="6" applyAlignment="1" pivotButton="0" quotePrefix="0" xfId="0">
      <alignment vertical="center" wrapText="1"/>
    </xf>
    <xf numFmtId="0" fontId="4" fillId="0" borderId="6" applyAlignment="1" pivotButton="0" quotePrefix="0" xfId="0">
      <alignment vertical="center"/>
    </xf>
    <xf numFmtId="0" fontId="4" fillId="0" borderId="6" pivotButton="0" quotePrefix="0" xfId="0"/>
    <xf numFmtId="0" fontId="4" fillId="0" borderId="6" applyAlignment="1" pivotButton="0" quotePrefix="0" xfId="0">
      <alignment vertical="center" wrapText="1"/>
    </xf>
    <xf numFmtId="0" fontId="4" fillId="0" borderId="6" applyAlignment="1" pivotButton="0" quotePrefix="0" xfId="0">
      <alignment horizontal="center" vertical="center" wrapText="1"/>
    </xf>
    <xf numFmtId="0" fontId="3" fillId="0" borderId="6" applyAlignment="1" pivotButton="0" quotePrefix="0" xfId="0">
      <alignment vertical="center" wrapText="1"/>
    </xf>
    <xf numFmtId="0" fontId="4" fillId="0" borderId="6" applyAlignment="1" pivotButton="0" quotePrefix="0" xfId="0">
      <alignment horizontal="center" vertical="center"/>
    </xf>
    <xf numFmtId="0" fontId="4" fillId="0" borderId="6" applyAlignment="1" pivotButton="0" quotePrefix="0" xfId="0">
      <alignment horizontal="center" vertical="center"/>
    </xf>
    <xf numFmtId="0" fontId="3" fillId="0" borderId="6" applyAlignment="1" pivotButton="0" quotePrefix="0" xfId="0">
      <alignment horizontal="center" vertical="center" wrapText="1"/>
    </xf>
    <xf numFmtId="0" fontId="3" fillId="0" borderId="6" applyAlignment="1" pivotButton="0" quotePrefix="0" xfId="0">
      <alignment horizontal="center" vertical="center"/>
    </xf>
    <xf numFmtId="0" fontId="5" fillId="0" borderId="6" applyAlignment="1" pivotButton="0" quotePrefix="0" xfId="0">
      <alignment horizontal="center" vertical="center" wrapText="1"/>
    </xf>
    <xf numFmtId="0" fontId="3" fillId="2" borderId="6" applyAlignment="1" pivotButton="0" quotePrefix="0" xfId="0">
      <alignment vertical="center" wrapText="1"/>
    </xf>
    <xf numFmtId="0" fontId="3" fillId="0" borderId="6" applyAlignment="1" pivotButton="0" quotePrefix="1" xfId="0">
      <alignment vertical="center" wrapText="1"/>
    </xf>
    <xf numFmtId="0" fontId="6" fillId="0" borderId="6" applyAlignment="1" pivotButton="0" quotePrefix="0" xfId="0">
      <alignment vertical="center" wrapText="1"/>
    </xf>
    <xf numFmtId="0" fontId="4" fillId="0" borderId="6" applyAlignment="1" pivotButton="0" quotePrefix="0" xfId="0">
      <alignment vertical="center" wrapText="1"/>
    </xf>
    <xf numFmtId="0" fontId="3" fillId="0" borderId="6" applyAlignment="1" pivotButton="0" quotePrefix="0" xfId="0">
      <alignment vertical="center"/>
    </xf>
    <xf numFmtId="0" fontId="3" fillId="2" borderId="6" applyAlignment="1" pivotButton="0" quotePrefix="0" xfId="0">
      <alignment vertical="center" wrapText="1"/>
    </xf>
    <xf numFmtId="0" fontId="7" fillId="0" borderId="0" applyAlignment="1" pivotButton="0" quotePrefix="0" xfId="0">
      <alignment horizontal="center" vertical="center" wrapText="1"/>
    </xf>
    <xf numFmtId="0" fontId="4" fillId="0" borderId="0" applyAlignment="1" pivotButton="0" quotePrefix="0" xfId="0">
      <alignment horizontal="center"/>
    </xf>
    <xf numFmtId="0" fontId="4" fillId="0" borderId="0" applyAlignment="1" pivotButton="0" quotePrefix="0" xfId="0">
      <alignment wrapText="1"/>
    </xf>
    <xf numFmtId="0" fontId="3" fillId="0" borderId="0" pivotButton="0" quotePrefix="0" xfId="0"/>
    <xf numFmtId="0" fontId="3" fillId="0" borderId="0" applyAlignment="1" pivotButton="0" quotePrefix="0" xfId="0">
      <alignment horizontal="center" wrapText="1"/>
    </xf>
    <xf numFmtId="0" fontId="8" fillId="3" borderId="6" applyAlignment="1" pivotButton="0" quotePrefix="0" xfId="0">
      <alignment horizontal="center" wrapText="1"/>
    </xf>
    <xf numFmtId="0" fontId="9" fillId="3" borderId="6" applyAlignment="1" pivotButton="0" quotePrefix="0" xfId="0">
      <alignment horizontal="center" vertical="center" wrapText="1"/>
    </xf>
    <xf numFmtId="0" fontId="10" fillId="0" borderId="6" applyAlignment="1" pivotButton="0" quotePrefix="0" xfId="0">
      <alignment horizontal="center" vertical="center" wrapText="1"/>
    </xf>
    <xf numFmtId="0" fontId="10" fillId="0" borderId="6" applyAlignment="1" pivotButton="0" quotePrefix="0" xfId="0">
      <alignment horizontal="left" wrapText="1"/>
    </xf>
    <xf numFmtId="0" fontId="10" fillId="0" borderId="6" applyAlignment="1" pivotButton="0" quotePrefix="0" xfId="0">
      <alignment horizontal="center" wrapText="1"/>
    </xf>
    <xf numFmtId="0" fontId="11" fillId="3" borderId="6" pivotButton="0" quotePrefix="0" xfId="0"/>
    <xf numFmtId="0" fontId="10" fillId="0" borderId="6" applyAlignment="1" pivotButton="0" quotePrefix="0" xfId="0">
      <alignment horizontal="left" vertical="center" wrapText="1"/>
    </xf>
    <xf numFmtId="0" fontId="12" fillId="0" borderId="6" pivotButton="0" quotePrefix="0" xfId="0"/>
    <xf numFmtId="0" fontId="13" fillId="0" borderId="6" applyAlignment="1" pivotButton="0" quotePrefix="0" xfId="0">
      <alignment horizontal="center" vertical="center" wrapText="1"/>
    </xf>
    <xf numFmtId="0" fontId="14" fillId="0" borderId="0" pivotButton="0" quotePrefix="0" xfId="0"/>
    <xf numFmtId="0" fontId="14" fillId="0" borderId="0" applyAlignment="1" pivotButton="0" quotePrefix="0" xfId="0">
      <alignment wrapText="1"/>
    </xf>
    <xf numFmtId="0" fontId="11" fillId="0" borderId="6" pivotButton="0" quotePrefix="0" xfId="0"/>
    <xf numFmtId="0" fontId="0" fillId="0" borderId="0" pivotButton="0" quotePrefix="0" xfId="0"/>
    <xf numFmtId="0" fontId="0" fillId="0" borderId="3" pivotButton="0" quotePrefix="0" xfId="0"/>
    <xf numFmtId="0" fontId="0" fillId="0" borderId="4" pivotButton="0" quotePrefix="0" xfId="0"/>
    <xf numFmtId="0" fontId="0" fillId="0" borderId="5" pivotButton="0" quotePrefix="0" xfId="0"/>
    <xf numFmtId="0" fontId="15" fillId="4" borderId="11" applyAlignment="1" pivotButton="0" quotePrefix="0" xfId="0">
      <alignment horizontal="center" vertical="center" wrapText="1"/>
    </xf>
    <xf numFmtId="0" fontId="0" fillId="0" borderId="11" pivotButton="0" quotePrefix="0" xfId="0"/>
    <xf numFmtId="0" fontId="16" fillId="5" borderId="11" applyAlignment="1" pivotButton="0" quotePrefix="0" xfId="0">
      <alignment horizontal="center" vertical="center" wrapText="1"/>
    </xf>
    <xf numFmtId="0" fontId="17" fillId="6" borderId="11" applyAlignment="1" pivotButton="0" quotePrefix="0" xfId="0">
      <alignment horizontal="left" vertical="center" wrapText="1"/>
    </xf>
    <xf numFmtId="0" fontId="18" fillId="0" borderId="11" applyAlignment="1" pivotButton="0" quotePrefix="0" xfId="0">
      <alignment vertical="top" wrapText="1"/>
    </xf>
    <xf numFmtId="0" fontId="19" fillId="7" borderId="11" applyAlignment="1" pivotButton="0" quotePrefix="0" xfId="0">
      <alignment vertical="top" wrapText="1"/>
    </xf>
    <xf numFmtId="0" fontId="20" fillId="8" borderId="11" applyAlignment="1" pivotButton="0" quotePrefix="0" xfId="0">
      <alignment horizontal="center" vertical="center" wrapText="1"/>
    </xf>
    <xf numFmtId="0" fontId="0" fillId="0" borderId="14" pivotButton="0" quotePrefix="0" xfId="0"/>
    <xf numFmtId="0" fontId="0" fillId="0" borderId="15" pivotButton="0" quotePrefix="0" xfId="0"/>
    <xf numFmtId="0" fontId="21" fillId="9" borderId="11" applyAlignment="1" pivotButton="0" quotePrefix="0" xfId="0">
      <alignment horizontal="left" vertical="center" wrapText="1"/>
    </xf>
    <xf numFmtId="0" fontId="22" fillId="9" borderId="11" applyAlignment="1" pivotButton="0" quotePrefix="0" xfId="0">
      <alignment horizontal="left" vertical="center" wrapText="1"/>
    </xf>
    <xf numFmtId="0" fontId="21" fillId="10" borderId="11" applyAlignment="1" pivotButton="0" quotePrefix="0" xfId="0">
      <alignment horizontal="left" vertical="center" wrapText="1"/>
    </xf>
    <xf numFmtId="0" fontId="22" fillId="10" borderId="11" applyAlignment="1" pivotButton="0" quotePrefix="0" xfId="0">
      <alignment horizontal="left" vertical="center" wrapText="1"/>
    </xf>
    <xf numFmtId="0" fontId="23" fillId="9" borderId="11" applyAlignment="1" pivotButton="0" quotePrefix="0" xfId="0">
      <alignment horizontal="left" vertical="center" wrapText="1"/>
    </xf>
    <xf numFmtId="0" fontId="18" fillId="9" borderId="11" applyAlignment="1" pivotButton="0" quotePrefix="0" xfId="0">
      <alignment horizontal="center" vertical="center" wrapText="1"/>
    </xf>
    <xf numFmtId="0" fontId="18" fillId="9" borderId="11" applyAlignment="1" pivotButton="0" quotePrefix="0" xfId="0">
      <alignment horizontal="left" vertical="center" wrapText="1"/>
    </xf>
    <xf numFmtId="0" fontId="24" fillId="11" borderId="11" applyAlignment="1" pivotButton="0" quotePrefix="0" xfId="0">
      <alignment horizontal="left" vertical="center" wrapText="1"/>
    </xf>
    <xf numFmtId="0" fontId="25" fillId="11" borderId="11" applyAlignment="1" pivotButton="0" quotePrefix="0" xfId="0">
      <alignment horizontal="center" vertical="center" wrapText="1"/>
    </xf>
    <xf numFmtId="0" fontId="25" fillId="11" borderId="11" applyAlignment="1" pivotButton="0" quotePrefix="0" xfId="0">
      <alignment horizontal="left" vertical="center" wrapText="1"/>
    </xf>
    <xf numFmtId="0" fontId="26" fillId="12" borderId="11" applyAlignment="1" pivotButton="0" quotePrefix="0" xfId="0">
      <alignment horizontal="left" vertical="center" wrapText="1"/>
    </xf>
    <xf numFmtId="0" fontId="27" fillId="12" borderId="11" applyAlignment="1" pivotButton="0" quotePrefix="0" xfId="0">
      <alignment horizontal="center" vertical="center" wrapText="1"/>
    </xf>
    <xf numFmtId="0" fontId="27" fillId="12" borderId="11" applyAlignment="1" pivotButton="0" quotePrefix="0" xfId="0">
      <alignment horizontal="left" vertical="center" wrapText="1"/>
    </xf>
    <xf numFmtId="0" fontId="28" fillId="5" borderId="11" applyAlignment="1" pivotButton="0" quotePrefix="0" xfId="0">
      <alignment vertical="top" wrapText="1"/>
    </xf>
    <xf numFmtId="0" fontId="29" fillId="13" borderId="11" applyAlignment="1" pivotButton="0" quotePrefix="0" xfId="0">
      <alignment horizontal="left" vertical="center" wrapText="1"/>
    </xf>
    <xf numFmtId="0" fontId="30" fillId="13" borderId="11" applyAlignment="1" pivotButton="0" quotePrefix="0" xfId="0">
      <alignment horizontal="center" vertical="center" wrapText="1"/>
    </xf>
    <xf numFmtId="0" fontId="30" fillId="13" borderId="11" applyAlignment="1" pivotButton="0" quotePrefix="0" xfId="0">
      <alignment horizontal="left" vertical="center" wrapText="1"/>
    </xf>
    <xf numFmtId="0" fontId="29" fillId="13" borderId="11" applyAlignment="1" pivotButton="0" quotePrefix="0" xfId="0">
      <alignment horizontal="center" vertical="center" wrapText="1"/>
    </xf>
    <xf numFmtId="0" fontId="0" fillId="13" borderId="11" pivotButton="0" quotePrefix="0" xfId="0"/>
    <xf numFmtId="0" fontId="26" fillId="12" borderId="11" applyAlignment="1" pivotButton="0" quotePrefix="0" xfId="0">
      <alignment horizontal="center" vertical="center" wrapText="1"/>
    </xf>
    <xf numFmtId="0" fontId="0" fillId="12" borderId="11" pivotButton="0" quotePrefix="0" xfId="0"/>
    <xf numFmtId="0" fontId="24" fillId="11" borderId="11" applyAlignment="1" pivotButton="0" quotePrefix="0" xfId="0">
      <alignment horizontal="center" vertical="center" wrapText="1"/>
    </xf>
    <xf numFmtId="0" fontId="0" fillId="11" borderId="11" pivotButton="0" quotePrefix="0" xfId="0"/>
    <xf numFmtId="0" fontId="18" fillId="14" borderId="11" applyAlignment="1" pivotButton="0" quotePrefix="0" xfId="0">
      <alignment vertical="top" wrapText="1"/>
    </xf>
    <xf numFmtId="0" fontId="31" fillId="8" borderId="11" applyAlignment="1" pivotButton="0" quotePrefix="0" xfId="0">
      <alignment horizontal="center" vertical="center" wrapText="1"/>
    </xf>
    <xf numFmtId="0" fontId="32" fillId="0" borderId="11" applyAlignment="1" pivotButton="0" quotePrefix="0" xfId="0">
      <alignment horizontal="center" vertical="center" wrapText="1"/>
    </xf>
    <xf numFmtId="164" fontId="32" fillId="0" borderId="11" applyAlignment="1" pivotButton="0" quotePrefix="0" xfId="0">
      <alignment horizontal="center" vertical="center" wrapText="1"/>
    </xf>
    <xf numFmtId="0" fontId="33" fillId="0" borderId="0" applyAlignment="1" pivotButton="0" quotePrefix="0" xfId="0">
      <alignment horizontal="left" vertical="center" wrapText="1"/>
    </xf>
    <xf numFmtId="0" fontId="33" fillId="0" borderId="0" pivotButton="0" quotePrefix="0" xfId="0"/>
    <xf numFmtId="0" fontId="23" fillId="9" borderId="11" applyAlignment="1" pivotButton="0" quotePrefix="0" xfId="0">
      <alignment horizontal="center" vertical="center" wrapText="1"/>
    </xf>
    <xf numFmtId="0" fontId="34" fillId="10" borderId="11" applyAlignment="1" pivotButton="0" quotePrefix="0" xfId="0">
      <alignment horizontal="center" vertical="center" wrapText="1"/>
    </xf>
    <xf numFmtId="0" fontId="28" fillId="9" borderId="11" applyAlignment="1" pivotButton="0" quotePrefix="0" xfId="0">
      <alignment horizontal="center" vertical="center" wrapText="1"/>
    </xf>
    <xf numFmtId="0" fontId="35" fillId="9" borderId="11" applyAlignment="1" pivotButton="0" quotePrefix="0" xfId="0">
      <alignment horizontal="left" vertical="center" wrapText="1"/>
    </xf>
    <xf numFmtId="0" fontId="35" fillId="9" borderId="11" applyAlignment="1" pivotButton="0" quotePrefix="0" xfId="0">
      <alignment horizontal="center" vertical="center" wrapText="1"/>
    </xf>
    <xf numFmtId="0" fontId="36" fillId="11" borderId="11" applyAlignment="1" pivotButton="0" quotePrefix="0" xfId="0">
      <alignment horizontal="center" vertical="center" wrapText="1"/>
    </xf>
    <xf numFmtId="0" fontId="37" fillId="11" borderId="11" applyAlignment="1" pivotButton="0" quotePrefix="0" xfId="0">
      <alignment horizontal="left" vertical="center" wrapText="1"/>
    </xf>
    <xf numFmtId="0" fontId="37" fillId="11" borderId="11" applyAlignment="1" pivotButton="0" quotePrefix="0" xfId="0">
      <alignment horizontal="center" vertical="center" wrapText="1"/>
    </xf>
    <xf numFmtId="0" fontId="38" fillId="12" borderId="11" applyAlignment="1" pivotButton="0" quotePrefix="0" xfId="0">
      <alignment horizontal="center" vertical="center" wrapText="1"/>
    </xf>
    <xf numFmtId="0" fontId="39" fillId="12" borderId="11" applyAlignment="1" pivotButton="0" quotePrefix="0" xfId="0">
      <alignment horizontal="left" vertical="center" wrapText="1"/>
    </xf>
    <xf numFmtId="0" fontId="39" fillId="12" borderId="11" applyAlignment="1" pivotButton="0" quotePrefix="0" xfId="0">
      <alignment horizontal="center" vertical="center" wrapText="1"/>
    </xf>
    <xf numFmtId="0" fontId="40" fillId="5" borderId="11" applyAlignment="1" pivotButton="0" quotePrefix="0" xfId="0">
      <alignment vertical="top" wrapText="1"/>
    </xf>
    <xf numFmtId="0" fontId="41" fillId="10" borderId="11" applyAlignment="1" pivotButton="0" quotePrefix="0" xfId="0">
      <alignment horizontal="left" vertical="center" wrapText="1"/>
    </xf>
    <xf numFmtId="0" fontId="42" fillId="10" borderId="11" applyAlignment="1" pivotButton="0" quotePrefix="0" xfId="0">
      <alignment horizontal="center" vertical="center" wrapText="1"/>
    </xf>
    <xf numFmtId="0" fontId="28" fillId="9" borderId="11" applyAlignment="1" pivotButton="0" quotePrefix="0" xfId="0">
      <alignment horizontal="left" vertical="center" wrapText="1"/>
    </xf>
    <xf numFmtId="0" fontId="38" fillId="12" borderId="11" applyAlignment="1" pivotButton="0" quotePrefix="0" xfId="0">
      <alignment horizontal="left" vertical="center" wrapText="1"/>
    </xf>
    <xf numFmtId="0" fontId="36" fillId="11" borderId="1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Test Hit@1 theo ε  (DP giữ = pretrained toàn dải)</a:t>
            </a:r>
          </a:p>
        </rich>
      </tx>
    </title>
    <plotArea>
      <lineChart>
        <grouping val="standard"/>
        <ser>
          <idx val="0"/>
          <order val="0"/>
          <tx>
            <strRef>
              <f>'Khung 1 — Chi tiết'!B49</f>
            </strRef>
          </tx>
          <spPr>
            <a:ln xmlns:a="http://schemas.openxmlformats.org/drawingml/2006/main" w="22000">
              <a:prstDash val="solid"/>
            </a:ln>
          </spPr>
          <marker>
            <symbol val="circle"/>
            <size val="6"/>
            <spPr>
              <a:ln xmlns:a="http://schemas.openxmlformats.org/drawingml/2006/main">
                <a:prstDash val="solid"/>
              </a:ln>
            </spPr>
          </marker>
          <cat>
            <numRef>
              <f>'Khung 1 — Chi tiết'!$A$50:$A$53</f>
            </numRef>
          </cat>
          <val>
            <numRef>
              <f>'Khung 1 — Chi tiết'!$B$50:$B$53</f>
            </numRef>
          </val>
        </ser>
        <ser>
          <idx val="1"/>
          <order val="1"/>
          <tx>
            <strRef>
              <f>'Khung 1 — Chi tiết'!C49</f>
            </strRef>
          </tx>
          <spPr>
            <a:ln xmlns:a="http://schemas.openxmlformats.org/drawingml/2006/main" w="22000">
              <a:prstDash val="solid"/>
            </a:ln>
          </spPr>
          <marker>
            <symbol val="circle"/>
            <size val="6"/>
            <spPr>
              <a:ln xmlns:a="http://schemas.openxmlformats.org/drawingml/2006/main">
                <a:prstDash val="solid"/>
              </a:ln>
            </spPr>
          </marker>
          <cat>
            <numRef>
              <f>'Khung 1 — Chi tiết'!$A$50:$A$53</f>
            </numRef>
          </cat>
          <val>
            <numRef>
              <f>'Khung 1 — Chi tiết'!$C$50:$C$53</f>
            </numRef>
          </val>
        </ser>
        <ser>
          <idx val="2"/>
          <order val="2"/>
          <tx>
            <strRef>
              <f>'Khung 1 — Chi tiết'!D49</f>
            </strRef>
          </tx>
          <spPr>
            <a:ln xmlns:a="http://schemas.openxmlformats.org/drawingml/2006/main" w="22000">
              <a:prstDash val="solid"/>
            </a:ln>
          </spPr>
          <marker>
            <symbol val="circle"/>
            <size val="6"/>
            <spPr>
              <a:ln xmlns:a="http://schemas.openxmlformats.org/drawingml/2006/main">
                <a:prstDash val="solid"/>
              </a:ln>
            </spPr>
          </marker>
          <cat>
            <numRef>
              <f>'Khung 1 — Chi tiết'!$A$50:$A$53</f>
            </numRef>
          </cat>
          <val>
            <numRef>
              <f>'Khung 1 — Chi tiết'!$D$50:$D$53</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ε (privacy budget)</a:t>
                </a:r>
              </a:p>
            </rich>
          </tx>
        </title>
        <majorTickMark val="none"/>
        <minorTickMark val="none"/>
        <crossAx val="100"/>
        <lblOffset val="100"/>
      </catAx>
      <valAx>
        <axId val="100"/>
        <scaling>
          <orientation val="minMax"/>
          <max val="80"/>
          <min val="40"/>
        </scaling>
        <delete val="0"/>
        <axPos val="l"/>
        <majorGridlines/>
        <title>
          <tx>
            <rich>
              <a:bodyPr xmlns:a="http://schemas.openxmlformats.org/drawingml/2006/main"/>
              <a:p xmlns:a="http://schemas.openxmlformats.org/drawingml/2006/main">
                <a:pPr>
                  <a:defRPr/>
                </a:pPr>
                <a:r>
                  <a:t>Test Hit@1 (%)</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lora_B std theo ε  (trọng số nhích nhẹ, luôn &lt; ngưỡng học 1e-3)</a:t>
            </a:r>
          </a:p>
        </rich>
      </tx>
    </title>
    <plotArea>
      <lineChart>
        <grouping val="standard"/>
        <ser>
          <idx val="0"/>
          <order val="0"/>
          <tx>
            <strRef>
              <f>'Khung 1 — Chi tiết'!E49</f>
            </strRef>
          </tx>
          <spPr>
            <a:ln xmlns:a="http://schemas.openxmlformats.org/drawingml/2006/main" w="22000">
              <a:prstDash val="solid"/>
            </a:ln>
          </spPr>
          <marker>
            <symbol val="diamond"/>
            <size val="7"/>
            <spPr>
              <a:ln xmlns:a="http://schemas.openxmlformats.org/drawingml/2006/main">
                <a:prstDash val="solid"/>
              </a:ln>
            </spPr>
          </marker>
          <cat>
            <numRef>
              <f>'Khung 1 — Chi tiết'!$A$50:$A$53</f>
            </numRef>
          </cat>
          <val>
            <numRef>
              <f>'Khung 1 — Chi tiết'!$E$50:$E$53</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ε (privacy budget)</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lora_B std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47</row>
      <rowOff>0</rowOff>
    </from>
    <ext cx="576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64</row>
      <rowOff>0</rowOff>
    </from>
    <ext cx="57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arxiv.org/abs/2412.13163" TargetMode="External" Id="rId1"/><Relationship Type="http://schemas.openxmlformats.org/officeDocument/2006/relationships/hyperlink" Target="https://arxiv.org/pdf/2410.13272v1" TargetMode="External" Id="rId2"/><Relationship Type="http://schemas.openxmlformats.org/officeDocument/2006/relationships/hyperlink" Target="https://arxiv.org/pdf/2504.19101" TargetMode="External" Id="rId3"/><Relationship Type="http://schemas.openxmlformats.org/officeDocument/2006/relationships/hyperlink" Target="https://github.com/DocAILab/FedE4RAG" TargetMode="External" Id="rId4"/><Relationship Type="http://schemas.openxmlformats.org/officeDocument/2006/relationships/hyperlink" Target="https://arxiv.org/abs/2509.06444" TargetMode="External" Id="rId5"/></Relationships>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001"/>
  <sheetViews>
    <sheetView workbookViewId="0">
      <selection activeCell="A1" sqref="A1"/>
    </sheetView>
  </sheetViews>
  <sheetFormatPr baseColWidth="8" defaultColWidth="14.43" defaultRowHeight="15" customHeight="1"/>
  <cols>
    <col hidden="1" width="9" customWidth="1" style="49" min="1" max="1"/>
    <col hidden="1" width="16.71" customWidth="1" style="49" min="2" max="2"/>
    <col width="35" customWidth="1" style="49" min="3" max="3"/>
    <col width="65.14" customWidth="1" style="49" min="4" max="4"/>
    <col width="48" customWidth="1" style="49" min="5" max="5"/>
    <col width="34" customWidth="1" style="49" min="6" max="6"/>
    <col width="59.43" customWidth="1" style="49" min="7" max="7"/>
    <col width="20" customWidth="1" style="49" min="8" max="8"/>
    <col width="78.29000000000001" customWidth="1" style="49" min="9" max="9"/>
    <col width="40.71" customWidth="1" style="49" min="10" max="10"/>
    <col width="17.71" customWidth="1" style="49" min="11" max="11"/>
    <col width="30" customWidth="1" style="49" min="12" max="12"/>
    <col width="29.29" customWidth="1" style="49" min="13" max="13"/>
    <col width="30.57" customWidth="1" style="49" min="14" max="14"/>
    <col width="26.86" customWidth="1" style="49" min="15" max="15"/>
    <col width="30.57" customWidth="1" style="49" min="16" max="16"/>
    <col width="26.14" customWidth="1" style="49" min="17" max="17"/>
    <col width="28.86" customWidth="1" style="49" min="18" max="18"/>
    <col width="32.43" customWidth="1" style="49" min="19" max="19"/>
    <col width="35.43" customWidth="1" style="49" min="20" max="20"/>
    <col width="22" customWidth="1" style="49" min="21" max="21"/>
    <col width="47.57" customWidth="1" style="49" min="22" max="22"/>
    <col width="16.71" customWidth="1" style="49" min="23" max="23"/>
    <col width="19.43" customWidth="1" style="49" min="24" max="24"/>
    <col width="8.710000000000001" customWidth="1" style="49" min="25" max="30"/>
  </cols>
  <sheetData>
    <row r="1">
      <c r="A1" s="1" t="inlineStr">
        <is>
          <t>Check</t>
        </is>
      </c>
      <c r="B1" s="1" t="inlineStr">
        <is>
          <t>PIC</t>
        </is>
      </c>
      <c r="C1" s="9" t="inlineStr">
        <is>
          <t>Công trình</t>
        </is>
      </c>
      <c r="D1" s="9" t="inlineStr">
        <is>
          <t>Cơ chế Bảo vệ Quyền riêng tư Chính</t>
        </is>
      </c>
      <c r="E1" s="9" t="inlineStr">
        <is>
          <t>Trọng tâm RAG/Mục tiêu Hệ thống</t>
        </is>
      </c>
      <c r="F1" s="9" t="inlineStr">
        <is>
          <t>Miền Ứng dụng</t>
        </is>
      </c>
      <c r="G1" s="9" t="inlineStr">
        <is>
          <t>Mục tiêu nghiên cứu</t>
        </is>
      </c>
      <c r="H1" s="9" t="inlineStr">
        <is>
          <t>Contribution Type</t>
        </is>
      </c>
      <c r="I1" s="9" t="inlineStr">
        <is>
          <t xml:space="preserve">Ưu điểm </t>
        </is>
      </c>
      <c r="J1" s="9" t="inlineStr">
        <is>
          <t>Nhược điểm</t>
        </is>
      </c>
      <c r="K1" s="9" t="inlineStr">
        <is>
          <t>Bộ phận được bảo vệ trong kiến trúc RAG</t>
        </is>
      </c>
      <c r="L1" s="50" t="n"/>
      <c r="M1" s="51" t="n"/>
      <c r="N1" s="10" t="inlineStr">
        <is>
          <t>Federated Retrieval</t>
        </is>
      </c>
      <c r="O1" s="50" t="n"/>
      <c r="P1" s="51" t="n"/>
      <c r="Q1" s="10" t="inlineStr">
        <is>
          <t xml:space="preserve">Federated Generation </t>
        </is>
      </c>
      <c r="R1" s="50" t="n"/>
      <c r="S1" s="51" t="n"/>
      <c r="T1" s="10" t="inlineStr">
        <is>
          <t>Privacy/ Security Enhencements</t>
        </is>
      </c>
      <c r="U1" s="50" t="n"/>
      <c r="V1" s="51" t="n"/>
      <c r="W1" s="9" t="inlineStr">
        <is>
          <t>Link bài báo</t>
        </is>
      </c>
      <c r="X1" s="9" t="inlineStr">
        <is>
          <t>Github</t>
        </is>
      </c>
    </row>
    <row r="2">
      <c r="C2" s="52" t="n"/>
      <c r="D2" s="52" t="n"/>
      <c r="E2" s="52" t="n"/>
      <c r="F2" s="52" t="n"/>
      <c r="G2" s="52" t="n"/>
      <c r="H2" s="52" t="n"/>
      <c r="I2" s="52" t="n"/>
      <c r="J2" s="52" t="n"/>
      <c r="K2" s="9" t="inlineStr">
        <is>
          <t>Retriever</t>
        </is>
      </c>
      <c r="L2" s="9" t="inlineStr">
        <is>
          <t>Generator</t>
        </is>
      </c>
      <c r="M2" s="9" t="inlineStr">
        <is>
          <t>Retriever + Generator</t>
        </is>
      </c>
      <c r="N2" s="10" t="inlineStr">
        <is>
          <t>Naive Aggregation</t>
        </is>
      </c>
      <c r="O2" s="10" t="inlineStr">
        <is>
          <t>Selective Query Routing</t>
        </is>
      </c>
      <c r="P2" s="10" t="inlineStr">
        <is>
          <t>Secure Index &amp; Query</t>
        </is>
      </c>
      <c r="Q2" s="10" t="inlineStr">
        <is>
          <t>Centralized Generation</t>
        </is>
      </c>
      <c r="R2" s="10" t="inlineStr">
        <is>
          <t>Client-specific Generation</t>
        </is>
      </c>
      <c r="S2" s="10" t="inlineStr">
        <is>
          <t>Hybrid/Ensemble Generation</t>
        </is>
      </c>
      <c r="T2" s="10" t="inlineStr">
        <is>
          <t>Cryptographic Protocols</t>
        </is>
      </c>
      <c r="U2" s="10" t="inlineStr">
        <is>
          <t>Differential Privacy</t>
        </is>
      </c>
      <c r="V2" s="10" t="inlineStr">
        <is>
          <t>Secure Execution Environments</t>
        </is>
      </c>
      <c r="W2" s="52" t="n"/>
      <c r="X2" s="52" t="n"/>
    </row>
    <row r="3" hidden="1" s="49">
      <c r="A3" s="11" t="b">
        <v>1</v>
      </c>
      <c r="B3" s="12" t="inlineStr">
        <is>
          <t>Trang</t>
        </is>
      </c>
      <c r="C3" s="31" t="inlineStr">
        <is>
          <t>DP-FedKGE (Peng et al., 2021)</t>
        </is>
      </c>
      <c r="D3" s="20" t="inlineStr">
        <is>
          <t>- Differential Privacy (DP): Sử dụng cơ chế PATE (Private Aggregation of Teacher Ensembles) với Laplace noise (λ=0.05, δ=10⁻⁵, ε̂=2.73)
- Decentralized Architecture: Không có central server, trao đổi peer-to-peer
- Privacy-Preserving Adversarial Translation (PPAT) Network: GAN-based với teacher-student discriminators để đảm bảo generated embeddings là differentially private</t>
        </is>
      </c>
      <c r="E3" s="20" t="inlineStr">
        <is>
          <t>- KHÔNG phải là hệ thống RAG. Đây là hệ thống Federated Knowledge Graph Embedding với mục tiêu:
- Học embeddings từ multiple cross-domain knowledge graphs
- Bảo vệ privacy khi chia sẻ knowledge giữa các parties
- Cải thiện chất lượng embeddings thông qua federated learning mà không cần tích hợp dữ liệu trực tiếp</t>
        </is>
      </c>
      <c r="F3" s="20" t="inlineStr">
        <is>
          <t>- Healthcare &amp; Life Sciences
- Enterprise Knowledge Management (Các công ty có proprietary KGs (knowledge bases nội bộ))
- Semantic search &amp; Question answering
- Geographic Information Systems (GIS)
- Cultural Heritage &amp; Digital Humanities
- Natural Language Processing
- Entertainment &amp; Gaming</t>
        </is>
      </c>
      <c r="G3" s="20" t="inlineStr">
        <is>
          <t>- Cho phép multiple KGs học collaborative mà không tiết lộ raw data
- Cải thiện embedding quality thông qua aligned entities/relations
- Đảm bảo differential privacy cho transmitted embeddings
- Xây dựng framework asynchronous, decentralized, scalable
- Tương thích với nhiều base KG embedding models (TransE, TransH, TransR, TransD)</t>
        </is>
      </c>
      <c r="H3" s="20" t="n"/>
      <c r="I3" s="20" t="inlineStr">
        <is>
          <t>- Strong privacy guarantees với differential privacy + decentralized architecture
- Significant performance improvements (up to +17.85% accuracy)
- Model-agnostic flexibility - compatible với multiple base KGE models</t>
        </is>
      </c>
      <c r="J3" s="20" t="inlineStr">
        <is>
          <t>- Requires pre-aligned entities - không tự động discover alignments
- Pairwise-only collaboration - không exploit multi-way synergies
- Lack of privacy attack evaluation - chỉ có theoretical guarantees</t>
        </is>
      </c>
      <c r="K3" s="20" t="inlineStr">
        <is>
          <t>Không có</t>
        </is>
      </c>
      <c r="L3" s="20" t="inlineStr">
        <is>
          <t>Không có</t>
        </is>
      </c>
      <c r="M3" s="20" t="inlineStr">
        <is>
          <t>Không có</t>
        </is>
      </c>
      <c r="N3" s="16" t="n"/>
      <c r="O3" s="20" t="inlineStr">
        <is>
          <t>Handshake protocol:
+ 3 states (Ready, Busy, Sleep)
+ KGs chỉ pair up khi có aligned entities/relations
+ Asynchronous collaboration based on availability</t>
        </is>
      </c>
      <c r="P3" s="20" t="inlineStr">
        <is>
          <t>- Secure hash cho entity alignment (SHA-256)
- No direct index sharing: Mỗi KG giữ local index
- Query = aligned entities: Chỉ entities có trong cả 2 KGs mới được process</t>
        </is>
      </c>
      <c r="Q3" s="16" t="n"/>
      <c r="R3" s="20" t="inlineStr">
        <is>
          <t>- Mỗi KG có riêng generator: Mapping matrix W local cho client
- Host có discriminators: Student + multiple teachers
- Gradients personalized: Mỗi client nhận gradients riêng từ host</t>
        </is>
      </c>
      <c r="S3" s="20" t="inlineStr">
        <is>
          <t>- Multiple teacher discriminators (default=4) trained on disjoint data partitions
- Student discriminator aggregates noisy labels from teachers
- PATE mechanism: Ensemble voting với Laplace noise</t>
        </is>
      </c>
      <c r="T3" s="16" t="n"/>
      <c r="U3" s="20" t="inlineStr">
        <is>
          <t>- Primary mechanism:
 + (ε̂, δ)-differential privacy với ε̂=2.73, δ=10⁻⁵
 + Laplace noise injection vào teacher votes
 + Moments accountant tracking qua training
- Formal guarantees:
 + Neighboring dataset definition
 + DP definition
 + Post-Processing Theorem bảo vệ student discriminator</t>
        </is>
      </c>
      <c r="V3" s="20" t="inlineStr">
        <is>
          <t>- Process isolation: Mỗi KG = 1 process độc lập
- Pipeline communication: Chỉ transmit qua secure channels
- No shared memory: Hoàn toàn decentralized</t>
        </is>
      </c>
      <c r="W3" s="17" t="n"/>
      <c r="X3" s="17" t="n"/>
    </row>
    <row r="4" hidden="1" s="49">
      <c r="A4" s="11" t="b">
        <v>0</v>
      </c>
      <c r="B4" s="12" t="inlineStr">
        <is>
          <t>Thế Anh</t>
        </is>
      </c>
      <c r="C4" s="31" t="inlineStr">
        <is>
          <t>PPDA (Jeon et al., 2021)</t>
        </is>
      </c>
      <c r="D4" s="20" t="inlineStr">
        <is>
          <t>Tổng hợp phân tán nhẹ (Lightweight decentralized aggregation)</t>
        </is>
      </c>
      <c r="E4" s="20" t="inlineStr">
        <is>
          <t>Học Liên kết (FL) nền tảng; aggregation</t>
        </is>
      </c>
      <c r="F4" s="20" t="n"/>
      <c r="G4" s="20" t="n"/>
      <c r="H4" s="20" t="n"/>
      <c r="I4" s="20" t="inlineStr">
        <is>
          <t>Không cần Differential Privacy (DP) hay Homomorphic Encryption (HE).</t>
        </is>
      </c>
      <c r="J4" s="20" t="n"/>
      <c r="K4" s="29" t="n"/>
      <c r="L4" s="29" t="n"/>
      <c r="M4" s="29" t="n"/>
      <c r="N4" s="16" t="n"/>
      <c r="O4" s="16" t="n"/>
      <c r="P4" s="16" t="n"/>
      <c r="Q4" s="16" t="n"/>
      <c r="R4" s="16" t="n"/>
      <c r="S4" s="16" t="n"/>
      <c r="T4" s="16" t="n"/>
      <c r="U4" s="16" t="n"/>
      <c r="V4" s="16" t="n"/>
      <c r="W4" s="17" t="n"/>
      <c r="X4" s="17" t="n"/>
    </row>
    <row r="5" hidden="1" s="49">
      <c r="A5" s="11" t="b">
        <v>0</v>
      </c>
      <c r="B5" s="12" t="inlineStr">
        <is>
          <t>Thế Anh</t>
        </is>
      </c>
      <c r="C5" s="31" t="inlineStr">
        <is>
          <t>DeTrustFL (Xu et al., 2022)</t>
        </is>
      </c>
      <c r="D5" s="20" t="inlineStr">
        <is>
          <t>Đồng thuận mật mã (Cryptographic consensus)</t>
        </is>
      </c>
      <c r="E5" s="20" t="inlineStr">
        <is>
          <t>Học Liên kết (FL); Ngăn chặn tấn công phân tách (disaggregation attacks)</t>
        </is>
      </c>
      <c r="F5" s="20" t="n"/>
      <c r="G5" s="20" t="n"/>
      <c r="H5" s="20" t="n"/>
      <c r="I5" s="20" t="inlineStr">
        <is>
          <t>Ngăn chặn tấn công phân tách; tăng độ tin cậy hệ thống.</t>
        </is>
      </c>
      <c r="J5" s="20" t="n"/>
      <c r="K5" s="29" t="n"/>
      <c r="L5" s="29" t="n"/>
      <c r="M5" s="29" t="n"/>
      <c r="N5" s="16" t="n"/>
      <c r="O5" s="16" t="n"/>
      <c r="P5" s="16" t="n"/>
      <c r="Q5" s="16" t="n"/>
      <c r="R5" s="16" t="n"/>
      <c r="S5" s="16" t="n"/>
      <c r="T5" s="16" t="n"/>
      <c r="U5" s="16" t="n"/>
      <c r="V5" s="16" t="n"/>
      <c r="W5" s="17" t="n"/>
      <c r="X5" s="17" t="n"/>
    </row>
    <row r="6" hidden="1" s="49">
      <c r="A6" s="11" t="b">
        <v>1</v>
      </c>
      <c r="B6" s="12" t="inlineStr">
        <is>
          <t>Trang</t>
        </is>
      </c>
      <c r="C6" s="31" t="inlineStr">
        <is>
          <t>FedX (Han et al., 2022)</t>
        </is>
      </c>
      <c r="D6" s="20" t="inlineStr">
        <is>
          <t>- Knowledge Distillation-based Privacy Preservation: Không chia sẻ trực tiếp dữ liệu thô hoặc đặc trưng dữ liệu giữa các client
- Model-only Communication: Chỉ chia sẻ trọng số mô hình (model weights) thông qua FedAvg framework
- Local Data Isolation: Dữ liệu luôn được giữ cục bộ tại mỗi client, không được truyền ra ngoài</t>
        </is>
      </c>
      <c r="E6" s="20" t="inlineStr">
        <is>
          <t>Đây không phải là hệ thống RAG. Đây là hệ thống federated learning tập trung vào:
- Unsupervised representation learning trong môi trường phân tán
- Học biểu diễn ngữ nghĩa từ dữ liệu cục bộ không được gán nhãn
- Xử lý vấn đề non-IID data distribution trong federated settings</t>
        </is>
      </c>
      <c r="F6" s="20" t="inlineStr">
        <is>
          <t>- Computer Vision
- Privacy-sensitive domains:
 + Dữ liệu y tế (hồ sơ bệnh nhân trong mạng lưới bệnh viện)
 + Dữ liệu cá nhân trên thiết bị di động
 + IoT networks với yêu cầu bảo mật cao
- Distributed systems: Học máy trên dữ liệu phân tán không thể tập trung hóa</t>
        </is>
      </c>
      <c r="G6" s="20" t="inlineStr">
        <is>
          <t>- Phát triển phương pháp unsupervised federated learning hiệu quả
- Giải quyết vấn đề data bias trong môi trường non-IID phân tán
- Học biểu diễn không thiên lệch từ dữ liệu decentralized và heterogeneous
- Cải thiện hiệu suất so với các phương pháp unsupervised federated learning hiện có
- Đảm bảo privacy mà không cần chia sẻ dữ liệu hoặc đặc trưng dữ liệu</t>
        </is>
      </c>
      <c r="H6" s="20" t="inlineStr">
        <is>
          <t>New Model / Framework</t>
        </is>
      </c>
      <c r="I6" s="20" t="inlineStr">
        <is>
          <t>- Privacy-preserving: Không chia sẻ dữ liệu thô hoặc đặc trưng giữa các client
- Hoạt động như add-on module cho nhiều thuật toán unsupervised khác nhau
- Effective bias mitigation: Global knowledge distillation giúp giảm thiên lệch từ non-IID data
- No external data required: Khác với FedCA, không cần external dataset
- Không yêu cầu communication rounds bổ sung hoặc tính toán phức tạp
- Cải thiện hiệu suất trên nhiều datasets và baselines
- Training stability: Ngăn chặn performance degradation do local bias
- Dual learning mechanism:
 + Local KD học semantic information từ local data
 + Global KD regularizes bias từ global model</t>
        </is>
      </c>
      <c r="J6" s="20" t="inlineStr">
        <is>
          <t>- Chỉ được đánh giá trên computer vision tasks
- Chưa được test trên full ImageNet hoặc datasets lớn hơn
- Hiệu suất giảm khi số lượng client tăng (N=20)
- Cần lưu trữ cả local model và global model
- Thiếu phân tích lý thuyết về convergence và privacy guarantees
- Embedding space mismatch: Cần projection head để align local và global embedding spaces</t>
        </is>
      </c>
      <c r="K6" s="29" t="n"/>
      <c r="L6" s="19" t="inlineStr">
        <is>
          <t>X</t>
        </is>
      </c>
      <c r="M6" s="29" t="n"/>
      <c r="N6" s="20" t="inlineStr">
        <is>
          <t>Không có</t>
        </is>
      </c>
      <c r="O6" s="20" t="inlineStr">
        <is>
          <t>Không có</t>
        </is>
      </c>
      <c r="P6" s="20" t="inlineStr">
        <is>
          <t>Không có
Bài báo này thuộc lĩnh vực unsupervised representation learning, không phải RAG. Không có bất kỳ cơ chế retrieval, index, hoặc query nào.</t>
        </is>
      </c>
      <c r="Q6" s="20" t="inlineStr">
        <is>
          <t>Global model F được tạo ra thông qua FedAvg aggregation</t>
        </is>
      </c>
      <c r="R6" s="20" t="inlineStr">
        <is>
          <t>Mỗi client duy trì và huấn luyện local model f^m riêng</t>
        </is>
      </c>
      <c r="S6" s="20" t="inlineStr">
        <is>
          <t>Two-sided knowledge distillation kết hợp cả local và global knowledge</t>
        </is>
      </c>
      <c r="T6" s="16" t="n"/>
      <c r="U6" s="16" t="n"/>
      <c r="V6" s="20" t="inlineStr">
        <is>
          <t>Privacy-preserving characteristics:
- No direct data sharing:
 + Clients không chia sẻ raw data
 + Clients không chia sẻ data features/embeddings
 + Chỉ chia sẻ model weights
- No external dataset dependency:
 + Khác với FedCA, không cần external dataset
 + Không leak information qua auxiliary data
- Isolated local training:
 + Mỗi client train độc lập với local data
 + Global model chỉ cung cấp regularization signal, không expose data
- Knowledge distillation as privacy mechanism:
+ Global model embeddings được treat như "alternative views"
+ Không cần explicit feature sharing như FCL (encrypted features)</t>
        </is>
      </c>
      <c r="W6" s="17" t="n"/>
      <c r="X6" s="17" t="n"/>
    </row>
    <row r="7">
      <c r="A7" s="11" t="b">
        <v>1</v>
      </c>
      <c r="B7" s="12" t="inlineStr">
        <is>
          <t>Thế Anh</t>
        </is>
      </c>
      <c r="C7" s="31" t="inlineStr">
        <is>
          <t>C-FedRAG (Addison et al., 2024)</t>
        </is>
      </c>
      <c r="D7" s="20" t="inlineStr">
        <is>
          <t xml:space="preserve">Môi trường Thực thi Đáng tin cậy (Trusted Execution Environment - SGX Enclaves) được áp dụng để bảo vệ các quá trình sau:
1. Thu thập ngữ cảnh (Context collection).
2. Tổng hợp ngữ cảnh (Context aggregation).
3. Tạo phản hồi (Response generation).
</t>
        </is>
      </c>
      <c r="E7" s="20" t="inlineStr">
        <is>
          <t>1. Mở rộng RAG Phi tập trung: Kết nối và mở rộng an toàn quy trình làm việc RAG trên mạng lưới các nhà cung cấp dữ liệu phân tán. Hệ thống này cho phép truy xuất thông tin từ nhiều nguồn dữ liệu bị cô lập mà không cần tập trung hóa dữ liệu.
2. Bảo mật Dữ liệu Ngữ cảnh: Bảo vệ tính bảo mật và quyền riêng tư của dữ liệu ngữ cảnh (contextual data) bằng cách sử dụng Điện toán Bảo mật (Confidential Computing - CC) trong suốt quá trình điều phối</t>
        </is>
      </c>
      <c r="F7" s="20" t="inlineStr">
        <is>
          <t>Lĩnh vực Y tế (Medical/Clinical)
 Môi trường Doanh nghiệp (Enterprise Environments)</t>
        </is>
      </c>
      <c r="G7" s="20" t="inlineStr">
        <is>
          <t>Thiết kế và triển khai một hệ thống RAG liên kết hoàn chỉnh (fully federated RAG system) để thực hiện truy xuất trên các nhà cung cấp dữ liệu phi tập trung.
Đề xuất kiến trúc bộ phận điều phối (orchestrator) sử dụng Điện toán Bảo mật (Confidential Computing - CC) nhằm bảo vệ tính riêng tư và bảo mật của những đoạn văn bản liên quan được tập trung về sau khi được truy xuất từ các bộ dữ liệu riêng tư của các bên cung cấp dữ liệu khác nhau ( được chọn bởi việc so sánh ma trận trọng số giữa query và dataset ở các data provider)
Tiến hành đánh giá toàn diện hệ thống RAG liên kết bảo mật về khả năng xử lý các định dạng và mức độ phức tạp khác nhau của văn bản y tế</t>
        </is>
      </c>
      <c r="H7" s="20" t="inlineStr">
        <is>
          <t>New Model / Framework</t>
        </is>
      </c>
      <c r="I7" s="20" t="inlineStr">
        <is>
          <t xml:space="preserve"> Bảo mật ngữ cảnh: Đảm bảo tính bảo mật và tính toàn vẹn của dữ liệu thô tại bộ phận điều phối (orchestrator) bằng cách sử dụng Điện toán Bảo mật (Confidential Computing - CC). Dữ liệu truy xuất vẫn được bảo vệ đối với bản thân bộ phận điều phối và các nhà cung cấp dữ liệu khác
 Tận dụng kiến thức chuyên môn: Có khả năng tận dụng kiến thức chuyên môn từ các bộ dữ liệu phân tán , giúp thu thập các ngữ cảnh liên quan nhất mà không bị giới hạn chỉ ở một kho lưu trữ dữ liệu tập trung </t>
        </is>
      </c>
      <c r="J7" s="20" t="inlineStr">
        <is>
          <t>• Giới hạn về Định dạng Dữ liệu: Hiện tại, nghiên cứu này chỉ giới hạn vào xử lý dữ liệu văn bản (text only), bỏ ngỏ các chủ đề đa phương thức (multi-modal) cho các nghiên cứu tương lai.
• Hạn chế về Kiến trúc LLM/Agent: Trong bản thử nghiệm ban đầu, hệ thống chỉ giới hạn việc có một LLM duy nhất tại bộ phận tổng hợp (aggregator site), thay vì nhiều LLM từ các địa điểm khác nhau.
• Thách thức Quản lý Truy cập: Cần giải quyết các vấn đề phức tạp như quản lý danh tính người dùng và truy cập (Identity and Access Management - IAM) xuyên suốt nhiều nhà cung cấp dữ liệu và miền bảo mật khác nhau.
• Thách thức Bảo mật Nâng cao: Cần thực hiện mô hình hóa mối đe dọa toàn diện về an ninh mạng và quyền riêng tư (ví dụ: ngăn chặn tấn công đầu độc dữ liệu - data poisoning attacks).
• Quản lý Khóa Mã hóa: Nếu các nhà cung cấp dữ liệu chọn mã hóa ngữ cảnh truy xuất, cần có cách thức để lưu trữ, quản lý và trao đổi nhiều khóa mã hóa một cách an toàn giữa mạng lưới các nhà cung cấp</t>
        </is>
      </c>
      <c r="K7" s="20" t="inlineStr">
        <is>
          <t>Không hoàn toàn được bảo vệ, quá trình truy xuất nội bộ được thực hiện và ngữ cảnh liên quan được gửi về bộ phận trung tâm qua một kênh giao tiếp an toàn sử dụng chứng chỉ X.509 để xác thực.</t>
        </is>
      </c>
      <c r="L7" s="20" t="inlineStr">
        <is>
          <t>CC được tích hợp để đảm bảo an ninh dữ liệu trong các hoạt động của bộ phận điều phối, bao gồm thu thập ngữ cảnh (context collection) và tổng hợp ngữ cảnh (context aggregation) từ các bộ dữ liệu dữ liệu phân bố rời rạc ở các bên cung cấp dữ liệu độc lập.
Đồng thời quá trình sinh dữ liệu bởi LLM cũng được thực hiện hoàn toàn trong TEE.</t>
        </is>
      </c>
      <c r="M7" s="29" t="n"/>
      <c r="N7" s="20" t="inlineStr">
        <is>
          <t>Khi nhận được truy vấn từ bộ phận điều phối (orchestrator), mỗi nhà cung cấp dữ liệu (data provider) sẽ thực hiện quá trình truy xuất cục bộ (local retrieval) của mình và kết hợp ngữ cảnh từ tất cả các nhà cung cấp dữ liệu bằng cách nối chuỗi đơn giản</t>
        </is>
      </c>
      <c r="O7" s="20" t="inlineStr">
        <is>
          <t>Tác giả đề xuất trong tương lai có thể: Thay vì phát sóng một cách mù quáng đến mọi người, có thể thêm một quá trình chọn lọc (selective process) để chỉ truy vấn những nhà cung cấp dữ liệu liên quan nhất dựa trên kiến thức toàn cục về khả năng tương thích truy vấn-nhà cung cấp</t>
        </is>
      </c>
      <c r="P7" s="22" t="n"/>
      <c r="Q7" s="22" t="inlineStr">
        <is>
          <t xml:space="preserve">X </t>
        </is>
      </c>
      <c r="R7" s="22" t="n"/>
      <c r="S7" s="22" t="n"/>
      <c r="T7" s="23" t="inlineStr">
        <is>
          <t>Mutual Transport Layer Security (mTLS):  Hệ thống yêu cầu giao thức mTLS (Mutual Transport Layer Security) cho tất cả các kết nối giữa máy chủ (server/orchestrator) và máy khách (clients/data providers),  mTLS cũng yêu cầu xác minh danh tính hai chiều (two-way identity verification). Cả máy chủ và máy khách phải xuất trình chứng chỉ X.509 để xác thực</t>
        </is>
      </c>
      <c r="U7" s="23" t="inlineStr">
        <is>
          <t>Không có, tác giả đề xuất nghiên cứu và thực hiện trong tương lai</t>
        </is>
      </c>
      <c r="V7" s="24" t="inlineStr">
        <is>
          <t>Có</t>
        </is>
      </c>
      <c r="W7" s="25" t="inlineStr">
        <is>
          <t>https://arxiv.org/abs/2412.13163</t>
        </is>
      </c>
      <c r="X7" s="23" t="inlineStr">
        <is>
          <t>Không có</t>
        </is>
      </c>
    </row>
    <row r="8">
      <c r="A8" s="11" t="b">
        <v>1</v>
      </c>
      <c r="B8" s="12" t="inlineStr">
        <is>
          <t>Trang</t>
        </is>
      </c>
      <c r="C8" s="31" t="inlineStr">
        <is>
          <t>FRAG (Zhao, 2024)</t>
        </is>
      </c>
      <c r="D8" s="27" t="inlineStr">
        <is>
          <t>- Single-Key Homomorphic Encryption (SK-MHE)
 + Sử dụng CKKS scheme (qua TenSEAL library)
 + Ciphertext splitting mechanism để phân phối shares cho n parties
 + Đạt IND-CPA security không cần giả định non-collusion
 + Đơn giản hóa key management bằng single shared encryption key
- Multiplicative Caching (MC)
 + Tính toán trước và lưu trữ các giá trị vô hướng được mã hóa (Enc(Δᵢ))
 + Tối ưu hóa floating-point homomorphic operations
 + Sử dụng Redis làm distributed caching layer
- Security Properties:
 + IND-CPA secure (proven qua formal cryptographic reductions)
 + Semi-honest adversary model 
 + Không tiết lộ plaintext data/queries giữa các parties</t>
        </is>
      </c>
      <c r="E8" s="20" t="inlineStr">
        <is>
          <t>Truy xuất kNN vector an toàn (IND-CPA-secure kNN search); Quản lý CSDL vector liên kết</t>
        </is>
      </c>
      <c r="F8" s="20" t="inlineStr">
        <is>
          <t>Healthcare
Finance
Legal services 
Collaborative AI</t>
        </is>
      </c>
      <c r="G8" s="27" t="inlineStr">
        <is>
          <t>- Federated ANN Search: Thực hiện tìm kiếm k-nearest neighbor trên encrypted databases phân tán
- Security Requirement: Đạt IND-CPA security, không giả định non-collusion
- Performance Requirement: Duy trì hiệu suất tương đương với centralized plaintext RAG systems
- Simplified Key Management: Sử dụng single shared encryption key thay vì multi-key schemes phức tạp</t>
        </is>
      </c>
      <c r="H8" s="20" t="inlineStr">
        <is>
          <t>New Model / Framework</t>
        </is>
      </c>
      <c r="I8" s="20" t="inlineStr">
        <is>
          <t>Cho phép nhiều bên không tin cậy cùng truy xuất ANN trên dữ liệu và truy vấn đều mã hóa; bảo toàn bí mật chỉ với 2 vòng giao tiếp; bảo vệ cả chỉ mục và truy vấn trong quá trình search; triển khai thực nghiệm ở quy mô 1M vectors, 768-dim.</t>
        </is>
      </c>
      <c r="J8" s="20" t="inlineStr">
        <is>
          <t xml:space="preserve"> Chất lượng truy xuất/recall dưới mã hóa chưa được so sánh chi tiết với plaintext; chi phí tính toán và băng thông cao hơn (O(mn)); có thể rò rỉ pattern truy cập/khối lượng kết quả nếu không thêm cơ chế che giấu truy cập (ORAM).</t>
        </is>
      </c>
      <c r="K8" s="19" t="inlineStr">
        <is>
          <t>X</t>
        </is>
      </c>
      <c r="L8" s="29" t="n"/>
      <c r="M8" s="20" t="n"/>
      <c r="N8" s="16" t="n"/>
      <c r="O8" s="16" t="n"/>
      <c r="P8" s="20" t="inlineStr">
        <is>
          <t>- Vector databases (FAISS) lưu encrypted embeddings (768-dim vectors)
- Encrypted query vectors distributed qua MPI
- Approximate k-Nearest Neighbor (ANN) search trên encrypted data
- Homomorphic dot product và distance computations</t>
        </is>
      </c>
      <c r="Q8" s="20" t="inlineStr">
        <is>
          <t>chỉ “tích hợp với LLM sau khi giải mã” (generation diễn ra ngoài cơ chế liên kết; không có bảo vệ generator</t>
        </is>
      </c>
      <c r="R8" s="16" t="n"/>
      <c r="S8" s="16" t="n"/>
      <c r="T8" s="20" t="inlineStr">
        <is>
          <t>- Single‑Key Multiparty Homomorphic Encryption (CKKS), 
- Cơ chế ciphertext splitting + secure aggregation; 
- Multiplicative Caching tăng tốc HE; 
- chứng minh IND‑CPA; 
- bảo vệ dữ liệu, truy vấn và cache ở trạng thái mã hóa.</t>
        </is>
      </c>
      <c r="U8" s="16" t="n"/>
      <c r="V8" s="16" t="n"/>
      <c r="W8" s="28" t="inlineStr">
        <is>
          <t>https://arxiv.org/pdf/2410.13272v1</t>
        </is>
      </c>
      <c r="X8" s="20" t="inlineStr">
        <is>
          <t>Không có</t>
        </is>
      </c>
    </row>
    <row r="9">
      <c r="A9" s="11" t="b">
        <v>1</v>
      </c>
      <c r="B9" s="12" t="inlineStr">
        <is>
          <t>Thế Anh</t>
        </is>
      </c>
      <c r="C9" s="31" t="inlineStr">
        <is>
          <t>FedE4RAG (Mao et al., 2025)</t>
        </is>
      </c>
      <c r="D9" s="20" t="inlineStr">
        <is>
          <t>• Học liên kết (FL): Dữ liệu thô vẫn nằm trên thiết bị cục bộ (khách hàng), chỉ chia sẻ các tham số mô hình đã được tổng hợp thay vì dữ liệu thô, qua đó hạn chế đáng kể rủi ro về quyền riêng tư.
• Mã hóa đồng cấu (HE/FED-HE): Cho phép thực hiện các phép tính trực tiếp trên gradient hoặc dữ liệu đã được mã hóa mà không cần giải mã, được tích hợp vào FL để bảo vệ các tham số mô hình và giao tiếp giữa máy khách và máy chủ.
• Chưng cất tri thức liên kết (KD-GLE): Cơ chế được sử dụng để giảm thiểu rủi ro rò rỉ thông tin và giữ bí mật ngữ nghĩa cục bộ nhạy cảm trong quá trình cập nhật liên kết, đồng thời chuyển giao tri thức cục bộ chuyên biệt thành tri thức toàn cầu.
• Tổng hợp bảo mật (Secure Aggregation): Phương pháp tính toán an toàn được áp dụng để ngăn chặn các cuộc tấn công suy luận thụ động bằng cách tính toán trực tiếp trên các gradient đã được mã hóa.
• Môi trường cục bộ đáng tin cậy (Trusted Local Environments): Các hệ thống RAG cá nhân hóa được thiết kế để đảm bảo toàn bộ quy trình RAG (kể cả dữ liệu truy xuất nhạy cảm) xảy ra chỉ ở phía khách hàng, giữ dữ liệu độc quyền trong phạm vi tổ chức</t>
        </is>
      </c>
      <c r="E9" s="20" t="inlineStr">
        <is>
          <t xml:space="preserve">Tăng cường hiệu quả truy xuất bằng cách cho phép nhiều máy khách cộng tác đào tạo các mô hình truy xuất RAG (retrieval models), đồng thời đảm bảo dữ liệu độc quyền của họ được giữ an toàn tại chỗ thông qua học liên kết. </t>
        </is>
      </c>
      <c r="F9" s="20" t="inlineStr">
        <is>
          <t xml:space="preserve">Tài chính, Y tế, Giáo dục </t>
        </is>
      </c>
      <c r="G9" s="20" t="inlineStr">
        <is>
          <t>Tăng hiệu quả truy xuất (retrieval effectiveness) trong hệ thống RAG bằng cách tận dụng đặc trưng dữ liệu riêng biệt của từng tổ chức (client) mà không làm lộ dữ liệu nhạy cảm.
→ Dữ liệu vẫn lưu tại chỗ (on-site), chỉ tham số mô hình (embedding) được chia sẻ trong quá trình huấn luyện liên kết.
Đảm bảo quyền riêng tư trong học liên kết (Federated Learning) bằng cách:
Áp dụng homomorphic encryption để mã hóa gradient và xử lý trực tiếp trên dữ liệu mã hóa, tránh rò rỉ dữ liệu khi truyền.
Thiết kế giao thức truyền thông an toàn tích hợp mã hóa + học liên kết + knowledge distillation.
Đề xuất cơ chế Federated Knowledge Distillation nhằm:
Truyền tri thức chuyên biệt từ mô hình cục bộ (local) lên mô hình toàn cục (global).
Giúp mô hình toàn cục tổng hợp được kiến thức từ nhiều miền (domain) khác nhau mà không cần tập trung dữ liệu.
Nâng cao khả năng tổng quát hóa (generalizability) của embedding toàn cục và cải thiện hiệu năng RAG cục bộ.
Kiểm chứng tính khả thi trong lĩnh vực tài chính (financial domain):
Xây dựng bộ dữ liệu liên kết FedE4FIN từ dữ liệu thật của các tổ chức tài chính (upstream).
Đánh giá hiệu quả sinh sinh (generative performance) bằng bộ dữ liệu RAG4FIN (downstream).</t>
        </is>
      </c>
      <c r="H9" s="20" t="inlineStr">
        <is>
          <t>New Model / Framework</t>
        </is>
      </c>
      <c r="I9" s="20" t="inlineStr">
        <is>
          <t>• Tăng cường Hiệu suất Truy xuất: Khung FedE4RAG có thể nâng cao đáng kể hiệu suất của các hệ thống RAG riêng tư và tăng cường hiệu quả truy xuất.
    ◦ Nó cho phép nhiều khách hàng cộng tác đào tạo mô hình truy xuất RAG (RAG retrieval models), tận dụng các đặc điểm dữ liệu khác biệt trên nhiều khách hàng.
    ◦ Nó vượt trội hơn hẳn các mô hình được đào tạo độc lập (ICMaxD &amp; ICMinD) và thậm chí vượt qua cả mô hình được đào tạo tập trung (SCenT) mà không cần bảo vệ quyền riêng tư dữ liệu.
• Bảo vệ Quyền riêng tư Dữ liệu mạnh mẽ:
    ◦ Hệ thống duy trì bảo vệ quyền riêng tư dữ liệu mạnh mẽ, đảm bảo dữ liệu độc quyền của khách hàng vẫn ở tại chỗ và bảo mật trong suốt quá trình đào tạo.
    ◦ Sử dụng Mã hóa Đồng cấu (HE) để bảo vệ các tham số mô hình và giảm thiểu rủi ro rò rỉ dữ liệu.
    ◦ Ngăn chặn các cuộc tấn công suy luận thụ động (passive inference attacks) bằng cách sử dụng tổng hợp bảo mật và chưng cất tri thức liên kết.
• Giải quyết vấn đề Thiếu dữ liệu: Khung giải quyết thách thức về sự khan hiếm của dữ liệu miền riêng tư, đặc biệt hiệu quả ngay cả trong những trường hợp cực đoan khi khách hàng không có dữ liệu để tinh chỉnh mô hình truy xuất cục bộ.
• Cải thiện Khả năng Tổng quát hóa (Generalization): Việc sử dụng Chưng cất Tri thức Liên kết (KD-GLE) cho phép chuyển giao tri thức cục bộ chuyên biệt thành tri thức toàn cầu, từ đó cải thiện khả năng tổng quát hóa và khả năng áp dụng của các biểu diễn dữ liệu cục bộ.
• Hiệu quả về Chi phí: FedE4RAG sử dụng mô hình nền tảng BGE-base có kích thước nhỏ hơn (438 MB so với BGE-large 1.34 GB), giúp giảm chi phí và thời gian đào tạo</t>
        </is>
      </c>
      <c r="J9" s="20" t="inlineStr">
        <is>
          <t>Tính không đồng nhất của dữ liệu (Non-IID data) giữa các khách hàng là một thách thức phổ biến, có thể làm giảm đáng kể hiệu suất của mô hình được tổng hợp so với kịch bản dữ liệu đồng nhất (IID).
Mặc dù Mã hóa Đồng cấu (HE/FED-HE) cung cấp sự đảm bảo quyền riêng tư mạnh mẽ, việc tích hợp HEFL có thể làm tăng chi phí tính toán.</t>
        </is>
      </c>
      <c r="K9" s="20" t="inlineStr">
        <is>
          <t xml:space="preserve"> Retriever (bộ truy xuất) là bộ phận trọng tâm được bảo vệ bằng các kỹ thuật mật mã (Homomorphic Encryption) và tối ưu hóa bằng Học tập Liên kết (Federated Learning)</t>
        </is>
      </c>
      <c r="L9" s="20" t="inlineStr">
        <is>
          <t>Không hẳn chỉ gián tiếp nhờ việc đặt RAG ở mạng LAN và cố gắng cách ly với internet</t>
        </is>
      </c>
      <c r="M9" s="29" t="n"/>
      <c r="N9" s="16" t="n"/>
      <c r="O9" s="16" t="n"/>
      <c r="P9" s="30" t="inlineStr">
        <is>
          <t xml:space="preserve"> Mọi thứ đều nằm cục bộ</t>
        </is>
      </c>
      <c r="Q9" s="16" t="n"/>
      <c r="R9" s="20" t="inlineStr">
        <is>
          <t>Mỗi bên liên quan đều có một mô hình generation riêng sau khi đã nhận embedding model đã được train nhờ FL và truy xuất tốt các ngữ cảnh truy xuất phù hợp</t>
        </is>
      </c>
      <c r="S9" s="16" t="n"/>
      <c r="T9" s="20" t="inlineStr">
        <is>
          <t>Mã hóa Đồng cấu (HE) giúp tính toán trên dữ liệu mã hóa và bảo vệ dữ liệu trong quá trình trao đổi giữa máy chủ với máy khách
Tổng hợp Bảo mật: Máy khách mã hóa gradient cục bộ của mình và gửi chúng đến máy chủ. Máy chủ sau đó thực hiện tổng hợp bảo mật (secure aggregation) trực tiếp trên các gradient đã được mã hóa này, đảm bảo rằng máy chủ không bao giờ truy cập vào gradient ở dạng văn bản gốc (plaintext)</t>
        </is>
      </c>
      <c r="U9" s="20" t="inlineStr">
        <is>
          <t>Không có, nhưng tác giả có đề xuất đây là future direction</t>
        </is>
      </c>
      <c r="V9" s="24" t="inlineStr">
        <is>
          <t>Không có</t>
        </is>
      </c>
      <c r="W9" s="25" t="inlineStr">
        <is>
          <t>https://arxiv.org/pdf/2504.19101</t>
        </is>
      </c>
      <c r="X9" s="25" t="inlineStr">
        <is>
          <t>https://github.com/DocAILab/FedE4RAG
https://huggingface.co/datasets/DocAILab/FedE4RAG_Dataset/tree/main/FEDE4FIN
https://huggingface.co/datasets/DocAILab/FedE4RAG_Dataset/tree/main/RAG4FIN</t>
        </is>
      </c>
    </row>
    <row r="10">
      <c r="A10" s="11" t="b">
        <v>1</v>
      </c>
      <c r="B10" s="12" t="inlineStr">
        <is>
          <t>Trang</t>
        </is>
      </c>
      <c r="C10" s="31" t="inlineStr">
        <is>
          <t>HyFedRAG (Chen Hai Yong, 2025)</t>
        </is>
      </c>
      <c r="D10" s="32" t="inlineStr">
        <is>
          <t xml:space="preserve">        Kiến trúc Federated Learning 3 tầng + 3 công cụ ẩn anh hóa 3 cấp độ (1. Presidio, 2. Eraser4RAG, 3. TenSEAL), three-tier caching mechanism (Local cache, Intermediate representation cache, Cloud inference cache)</t>
        </is>
      </c>
      <c r="E10" s="20" t="inlineStr">
        <is>
          <t>Giải quyết bài toán FedRAG trên dữ liệu đa dạng về cấu trúc (heterogeneous data) và nhạy cảm về quyền riêng tư</t>
        </is>
      </c>
      <c r="F10" s="20" t="inlineStr">
        <is>
          <t>Y tế/Healthcare - truy vấn bệnh án hiếm gặp trên nhiều bệnh viện với dữ liệu lưu trữ ở các định dạng khác nhau (SQL, knowledge graphs, văn bản lâm sàng).</t>
        </is>
      </c>
      <c r="G10" s="27" t="inlineStr">
        <is>
          <t>- Xây dựng hệ thống FedRAG hoạt động trên dữ liệu có cấu trúc khác nhau (structured SQL, semi-structured KG, unstructured text)</t>
        </is>
      </c>
      <c r="H10" s="20" t="inlineStr">
        <is>
          <t>New Model / Framework</t>
        </is>
      </c>
      <c r="I10" s="27" t="inlineStr">
        <is>
          <t>- Hỗ trợ đồng thời SQL, Knowledge Graph và Text
- Đa cấp độ bảo mật: 3 công cụ ẩn danh hóa linh hoạt theo nhu cầu
- Hiệu quả: Giảm 80% độ trễ nhờ cơ chế cache 3 tầng
- Không yêu cầu phần cứng đặc biệt, chạy trên edge devices
- Tuân thủ GDPR và HIPAA compliant, đã kiểm chứng trên PMC-Patients dataset</t>
        </is>
      </c>
      <c r="J10" s="27" t="inlineStr">
        <is>
          <t>- Hạn chế về cấu trúc dữ liệu
- Chưa có Differential Privacy
- Phụ thuộc vào chất lượng local LLM
- Overhead communication
- Thiếu adaptive fusion</t>
        </is>
      </c>
      <c r="K10" s="16" t="n"/>
      <c r="L10" s="16" t="n"/>
      <c r="M10" s="20" t="inlineStr">
        <is>
          <t>Retriever: Hoạt động hoàn toàn local, không chia sẻ raw data
Generator: Client-side LLM tạo de-identified summaries
-&gt; End-to-end privacy preservation</t>
        </is>
      </c>
      <c r="N10" s="16" t="n"/>
      <c r="O10" s="20" t="inlineStr">
        <is>
          <t>Query được route đến các client phù hợp với data modality (SQL/KG/Text)</t>
        </is>
      </c>
      <c r="P10" s="16" t="n"/>
      <c r="Q10" s="16" t="n"/>
      <c r="R10" s="16" t="n"/>
      <c r="S10" s="20" t="inlineStr">
        <is>
          <t>- Stage 1: Multi-client local retrieval
- Stage 2: Client-specific LLM generation với anonymization
- Stage 3: Centralized global LLM fusion
- Kết hợp cả client-side và server-side generation:
+ Client-side: LLM cục bộ tạo summary bảo mật
+ Server-side: LLM toàn cục tổng hợp các summary để tạo câu trả lời cuối cùng</t>
        </is>
      </c>
      <c r="T10" s="20" t="inlineStr">
        <is>
          <t>TenSEAL cho encrypted embeddings</t>
        </is>
      </c>
      <c r="U10" s="20" t="inlineStr">
        <is>
          <t>Không có</t>
        </is>
      </c>
      <c r="V10" s="20" t="inlineStr">
        <is>
          <t>- Neo4j (KG), FAISS (text), MySQL (SQL) - tất cả local
- Private cloud/trusted execution environment</t>
        </is>
      </c>
      <c r="W10" s="28" t="inlineStr">
        <is>
          <t>https://arxiv.org/abs/2509.06444</t>
        </is>
      </c>
      <c r="X10" s="20" t="inlineStr">
        <is>
          <t>Không có</t>
        </is>
      </c>
    </row>
    <row r="11">
      <c r="B11" s="33" t="n"/>
      <c r="C11" s="34" t="n"/>
      <c r="E11" s="35" t="n"/>
    </row>
    <row r="12">
      <c r="B12" s="33" t="n"/>
      <c r="C12" s="34" t="n"/>
    </row>
    <row r="13">
      <c r="B13" s="33" t="n"/>
      <c r="C13" s="34" t="n"/>
    </row>
    <row r="14">
      <c r="B14" s="33" t="n"/>
      <c r="C14" s="34" t="n"/>
    </row>
    <row r="15">
      <c r="B15" s="33" t="n"/>
      <c r="C15" s="34" t="n"/>
    </row>
    <row r="16">
      <c r="B16" s="33" t="n"/>
      <c r="C16" s="34" t="n"/>
    </row>
    <row r="17">
      <c r="B17" s="33" t="n"/>
      <c r="C17" s="34" t="n"/>
    </row>
    <row r="18">
      <c r="B18" s="33" t="n"/>
      <c r="C18" s="34" t="n"/>
    </row>
    <row r="19">
      <c r="B19" s="33" t="n"/>
      <c r="C19" s="34" t="n"/>
    </row>
    <row r="20">
      <c r="B20" s="33" t="n"/>
      <c r="C20" s="34" t="n"/>
    </row>
    <row r="21">
      <c r="B21" s="33" t="n"/>
      <c r="C21" s="34" t="n"/>
    </row>
    <row r="22" ht="15.75" customHeight="1" s="49">
      <c r="B22" s="33" t="n"/>
      <c r="C22" s="34" t="n"/>
    </row>
    <row r="23" ht="15.75" customHeight="1" s="49">
      <c r="B23" s="33" t="n"/>
      <c r="C23" s="34" t="n"/>
    </row>
    <row r="24" ht="15.75" customHeight="1" s="49">
      <c r="B24" s="33" t="n"/>
      <c r="C24" s="34" t="n"/>
    </row>
    <row r="25" ht="15.75" customHeight="1" s="49">
      <c r="B25" s="33" t="n"/>
      <c r="C25" s="34" t="n"/>
    </row>
    <row r="26" ht="15.75" customHeight="1" s="49">
      <c r="B26" s="33" t="n"/>
      <c r="C26" s="34" t="n"/>
    </row>
    <row r="27" ht="15.75" customHeight="1" s="49">
      <c r="B27" s="33" t="n"/>
      <c r="C27" s="34" t="n"/>
    </row>
    <row r="28" ht="15.75" customHeight="1" s="49">
      <c r="B28" s="33" t="n"/>
      <c r="C28" s="34" t="n"/>
    </row>
    <row r="29" ht="15.75" customHeight="1" s="49">
      <c r="B29" s="33" t="n"/>
      <c r="C29" s="34" t="n"/>
    </row>
    <row r="30" ht="15.75" customHeight="1" s="49">
      <c r="B30" s="33" t="n"/>
      <c r="C30" s="34" t="n"/>
    </row>
    <row r="31" ht="15.75" customHeight="1" s="49">
      <c r="B31" s="33" t="n"/>
      <c r="C31" s="34" t="n"/>
    </row>
    <row r="32" ht="15.75" customHeight="1" s="49">
      <c r="B32" s="33" t="n"/>
      <c r="C32" s="34" t="n"/>
    </row>
    <row r="33" ht="15.75" customHeight="1" s="49">
      <c r="B33" s="33" t="n"/>
      <c r="C33" s="34" t="n"/>
    </row>
    <row r="34" ht="15.75" customHeight="1" s="49">
      <c r="B34" s="33" t="n"/>
      <c r="C34" s="34" t="n"/>
    </row>
    <row r="35" ht="15.75" customHeight="1" s="49">
      <c r="B35" s="33" t="n"/>
      <c r="C35" s="34" t="n"/>
    </row>
    <row r="36" ht="15.75" customHeight="1" s="49">
      <c r="B36" s="33" t="n"/>
      <c r="C36" s="34" t="n"/>
    </row>
    <row r="37" ht="15.75" customHeight="1" s="49">
      <c r="B37" s="33" t="n"/>
      <c r="C37" s="34" t="n"/>
    </row>
    <row r="38" ht="15.75" customHeight="1" s="49">
      <c r="B38" s="33" t="n"/>
      <c r="C38" s="34" t="n"/>
    </row>
    <row r="39" ht="15.75" customHeight="1" s="49">
      <c r="B39" s="33" t="n"/>
      <c r="C39" s="34" t="n"/>
    </row>
    <row r="40" ht="15.75" customHeight="1" s="49">
      <c r="B40" s="33" t="n"/>
      <c r="C40" s="34" t="n"/>
    </row>
    <row r="41" ht="15.75" customHeight="1" s="49">
      <c r="B41" s="33" t="n"/>
      <c r="C41" s="34" t="n"/>
    </row>
    <row r="42" ht="15.75" customHeight="1" s="49">
      <c r="B42" s="33" t="n"/>
      <c r="C42" s="34" t="n"/>
    </row>
    <row r="43" ht="15.75" customHeight="1" s="49">
      <c r="B43" s="33" t="n"/>
      <c r="C43" s="34" t="n"/>
    </row>
    <row r="44" ht="15.75" customHeight="1" s="49">
      <c r="B44" s="33" t="n"/>
      <c r="C44" s="34" t="n"/>
    </row>
    <row r="45" ht="15.75" customHeight="1" s="49">
      <c r="B45" s="33" t="n"/>
      <c r="C45" s="34" t="n"/>
    </row>
    <row r="46" ht="15.75" customHeight="1" s="49">
      <c r="B46" s="33" t="n"/>
      <c r="C46" s="34" t="n"/>
    </row>
    <row r="47" ht="15.75" customHeight="1" s="49">
      <c r="B47" s="33" t="n"/>
      <c r="C47" s="34" t="n"/>
    </row>
    <row r="48" ht="15.75" customHeight="1" s="49">
      <c r="B48" s="33" t="n"/>
      <c r="C48" s="34" t="n"/>
    </row>
    <row r="49" ht="15.75" customHeight="1" s="49">
      <c r="B49" s="33" t="n"/>
      <c r="C49" s="34" t="n"/>
    </row>
    <row r="50" ht="15.75" customHeight="1" s="49">
      <c r="B50" s="33" t="n"/>
      <c r="C50" s="34" t="n"/>
    </row>
    <row r="51" ht="15.75" customHeight="1" s="49">
      <c r="B51" s="33" t="n"/>
      <c r="C51" s="34" t="n"/>
    </row>
    <row r="52" ht="15.75" customHeight="1" s="49">
      <c r="B52" s="33" t="n"/>
      <c r="C52" s="34" t="n"/>
    </row>
    <row r="53" ht="15.75" customHeight="1" s="49">
      <c r="B53" s="33" t="n"/>
      <c r="C53" s="34" t="n"/>
    </row>
    <row r="54" ht="15.75" customHeight="1" s="49">
      <c r="B54" s="33" t="n"/>
      <c r="C54" s="34" t="n"/>
    </row>
    <row r="55" ht="15.75" customHeight="1" s="49">
      <c r="B55" s="33" t="n"/>
      <c r="C55" s="34" t="n"/>
    </row>
    <row r="56" ht="15.75" customHeight="1" s="49">
      <c r="B56" s="33" t="n"/>
      <c r="C56" s="34" t="n"/>
    </row>
    <row r="57" ht="15.75" customHeight="1" s="49">
      <c r="B57" s="33" t="n"/>
      <c r="C57" s="34" t="n"/>
    </row>
    <row r="58" ht="15.75" customHeight="1" s="49">
      <c r="B58" s="33" t="n"/>
      <c r="C58" s="34" t="n"/>
    </row>
    <row r="59" ht="15.75" customHeight="1" s="49">
      <c r="B59" s="33" t="n"/>
      <c r="C59" s="34" t="n"/>
    </row>
    <row r="60" ht="15.75" customHeight="1" s="49">
      <c r="B60" s="33" t="n"/>
      <c r="C60" s="34" t="n"/>
    </row>
    <row r="61" ht="15.75" customHeight="1" s="49">
      <c r="B61" s="33" t="n"/>
      <c r="C61" s="34" t="n"/>
    </row>
    <row r="62" ht="15.75" customHeight="1" s="49">
      <c r="B62" s="33" t="n"/>
      <c r="C62" s="34" t="n"/>
    </row>
    <row r="63" ht="15.75" customHeight="1" s="49">
      <c r="B63" s="33" t="n"/>
      <c r="C63" s="34" t="n"/>
    </row>
    <row r="64" ht="15.75" customHeight="1" s="49">
      <c r="B64" s="33" t="n"/>
      <c r="C64" s="34" t="n"/>
    </row>
    <row r="65" ht="15.75" customHeight="1" s="49">
      <c r="B65" s="33" t="n"/>
      <c r="C65" s="34" t="n"/>
    </row>
    <row r="66" ht="15.75" customHeight="1" s="49">
      <c r="B66" s="33" t="n"/>
      <c r="C66" s="34" t="n"/>
    </row>
    <row r="67" ht="15.75" customHeight="1" s="49">
      <c r="B67" s="33" t="n"/>
      <c r="C67" s="34" t="n"/>
    </row>
    <row r="68" ht="15.75" customHeight="1" s="49">
      <c r="B68" s="33" t="n"/>
      <c r="C68" s="34" t="n"/>
    </row>
    <row r="69" ht="15.75" customHeight="1" s="49">
      <c r="B69" s="33" t="n"/>
      <c r="C69" s="34" t="n"/>
    </row>
    <row r="70" ht="15.75" customHeight="1" s="49">
      <c r="B70" s="33" t="n"/>
      <c r="C70" s="34" t="n"/>
    </row>
    <row r="71" ht="15.75" customHeight="1" s="49">
      <c r="B71" s="33" t="n"/>
      <c r="C71" s="34" t="n"/>
    </row>
    <row r="72" ht="15.75" customHeight="1" s="49">
      <c r="B72" s="33" t="n"/>
      <c r="C72" s="34" t="n"/>
    </row>
    <row r="73" ht="15.75" customHeight="1" s="49">
      <c r="B73" s="33" t="n"/>
      <c r="C73" s="34" t="n"/>
    </row>
    <row r="74" ht="15.75" customHeight="1" s="49">
      <c r="B74" s="33" t="n"/>
      <c r="C74" s="34" t="n"/>
    </row>
    <row r="75" ht="15.75" customHeight="1" s="49">
      <c r="B75" s="33" t="n"/>
      <c r="C75" s="34" t="n"/>
    </row>
    <row r="76" ht="15.75" customHeight="1" s="49">
      <c r="B76" s="33" t="n"/>
      <c r="C76" s="34" t="n"/>
    </row>
    <row r="77" ht="15.75" customHeight="1" s="49">
      <c r="B77" s="33" t="n"/>
      <c r="C77" s="34" t="n"/>
    </row>
    <row r="78" ht="15.75" customHeight="1" s="49">
      <c r="B78" s="33" t="n"/>
      <c r="C78" s="34" t="n"/>
    </row>
    <row r="79" ht="15.75" customHeight="1" s="49">
      <c r="B79" s="33" t="n"/>
      <c r="C79" s="34" t="n"/>
    </row>
    <row r="80" ht="15.75" customHeight="1" s="49">
      <c r="B80" s="33" t="n"/>
      <c r="C80" s="34" t="n"/>
    </row>
    <row r="81" ht="15.75" customHeight="1" s="49">
      <c r="B81" s="33" t="n"/>
      <c r="C81" s="34" t="n"/>
    </row>
    <row r="82" ht="15.75" customHeight="1" s="49">
      <c r="B82" s="33" t="n"/>
      <c r="C82" s="34" t="n"/>
    </row>
    <row r="83" ht="15.75" customHeight="1" s="49">
      <c r="B83" s="33" t="n"/>
      <c r="C83" s="34" t="n"/>
    </row>
    <row r="84" ht="15.75" customHeight="1" s="49">
      <c r="B84" s="33" t="n"/>
      <c r="C84" s="34" t="n"/>
    </row>
    <row r="85" ht="15.75" customHeight="1" s="49">
      <c r="B85" s="33" t="n"/>
      <c r="C85" s="34" t="n"/>
    </row>
    <row r="86" ht="15.75" customHeight="1" s="49">
      <c r="B86" s="33" t="n"/>
      <c r="C86" s="34" t="n"/>
    </row>
    <row r="87" ht="15.75" customHeight="1" s="49">
      <c r="B87" s="33" t="n"/>
      <c r="C87" s="34" t="n"/>
    </row>
    <row r="88" ht="15.75" customHeight="1" s="49">
      <c r="B88" s="33" t="n"/>
      <c r="C88" s="34" t="n"/>
    </row>
    <row r="89" ht="15.75" customHeight="1" s="49">
      <c r="B89" s="33" t="n"/>
      <c r="C89" s="34" t="n"/>
    </row>
    <row r="90" ht="15.75" customHeight="1" s="49">
      <c r="B90" s="33" t="n"/>
      <c r="C90" s="34" t="n"/>
    </row>
    <row r="91" ht="15.75" customHeight="1" s="49">
      <c r="B91" s="33" t="n"/>
      <c r="C91" s="34" t="n"/>
    </row>
    <row r="92" ht="15.75" customHeight="1" s="49">
      <c r="B92" s="33" t="n"/>
      <c r="C92" s="34" t="n"/>
    </row>
    <row r="93" ht="15.75" customHeight="1" s="49">
      <c r="B93" s="33" t="n"/>
      <c r="C93" s="34" t="n"/>
    </row>
    <row r="94" ht="15.75" customHeight="1" s="49">
      <c r="B94" s="33" t="n"/>
      <c r="C94" s="34" t="n"/>
    </row>
    <row r="95" ht="15.75" customHeight="1" s="49">
      <c r="B95" s="33" t="n"/>
      <c r="C95" s="34" t="n"/>
    </row>
    <row r="96" ht="15.75" customHeight="1" s="49">
      <c r="B96" s="33" t="n"/>
      <c r="C96" s="34" t="n"/>
    </row>
    <row r="97" ht="15.75" customHeight="1" s="49">
      <c r="B97" s="33" t="n"/>
      <c r="C97" s="34" t="n"/>
    </row>
    <row r="98" ht="15.75" customHeight="1" s="49">
      <c r="B98" s="33" t="n"/>
      <c r="C98" s="34" t="n"/>
    </row>
    <row r="99" ht="15.75" customHeight="1" s="49">
      <c r="B99" s="33" t="n"/>
      <c r="C99" s="34" t="n"/>
    </row>
    <row r="100" ht="15.75" customHeight="1" s="49">
      <c r="B100" s="33" t="n"/>
      <c r="C100" s="34" t="n"/>
    </row>
    <row r="101" ht="15.75" customHeight="1" s="49">
      <c r="B101" s="33" t="n"/>
      <c r="C101" s="34" t="n"/>
    </row>
    <row r="102" ht="15.75" customHeight="1" s="49">
      <c r="B102" s="33" t="n"/>
      <c r="C102" s="34" t="n"/>
    </row>
    <row r="103" ht="15.75" customHeight="1" s="49">
      <c r="B103" s="33" t="n"/>
      <c r="C103" s="34" t="n"/>
    </row>
    <row r="104" ht="15.75" customHeight="1" s="49">
      <c r="B104" s="33" t="n"/>
      <c r="C104" s="34" t="n"/>
    </row>
    <row r="105" ht="15.75" customHeight="1" s="49">
      <c r="B105" s="33" t="n"/>
      <c r="C105" s="34" t="n"/>
    </row>
    <row r="106" ht="15.75" customHeight="1" s="49">
      <c r="B106" s="33" t="n"/>
      <c r="C106" s="34" t="n"/>
    </row>
    <row r="107" ht="15.75" customHeight="1" s="49">
      <c r="B107" s="33" t="n"/>
      <c r="C107" s="34" t="n"/>
    </row>
    <row r="108" ht="15.75" customHeight="1" s="49">
      <c r="B108" s="33" t="n"/>
      <c r="C108" s="34" t="n"/>
    </row>
    <row r="109" ht="15.75" customHeight="1" s="49">
      <c r="B109" s="33" t="n"/>
      <c r="C109" s="34" t="n"/>
    </row>
    <row r="110" ht="15.75" customHeight="1" s="49">
      <c r="B110" s="33" t="n"/>
      <c r="C110" s="34" t="n"/>
    </row>
    <row r="111" ht="15.75" customHeight="1" s="49">
      <c r="B111" s="33" t="n"/>
      <c r="C111" s="34" t="n"/>
    </row>
    <row r="112" ht="15.75" customHeight="1" s="49">
      <c r="B112" s="33" t="n"/>
      <c r="C112" s="34" t="n"/>
    </row>
    <row r="113" ht="15.75" customHeight="1" s="49">
      <c r="B113" s="33" t="n"/>
      <c r="C113" s="34" t="n"/>
    </row>
    <row r="114" ht="15.75" customHeight="1" s="49">
      <c r="B114" s="33" t="n"/>
      <c r="C114" s="34" t="n"/>
    </row>
    <row r="115" ht="15.75" customHeight="1" s="49">
      <c r="B115" s="33" t="n"/>
      <c r="C115" s="34" t="n"/>
    </row>
    <row r="116" ht="15.75" customHeight="1" s="49">
      <c r="B116" s="33" t="n"/>
      <c r="C116" s="34" t="n"/>
    </row>
    <row r="117" ht="15.75" customHeight="1" s="49">
      <c r="B117" s="33" t="n"/>
      <c r="C117" s="34" t="n"/>
    </row>
    <row r="118" ht="15.75" customHeight="1" s="49">
      <c r="B118" s="33" t="n"/>
      <c r="C118" s="34" t="n"/>
    </row>
    <row r="119" ht="15.75" customHeight="1" s="49">
      <c r="B119" s="33" t="n"/>
      <c r="C119" s="34" t="n"/>
    </row>
    <row r="120" ht="15.75" customHeight="1" s="49">
      <c r="B120" s="33" t="n"/>
      <c r="C120" s="34" t="n"/>
    </row>
    <row r="121" ht="15.75" customHeight="1" s="49">
      <c r="B121" s="33" t="n"/>
      <c r="C121" s="34" t="n"/>
    </row>
    <row r="122" ht="15.75" customHeight="1" s="49">
      <c r="B122" s="33" t="n"/>
      <c r="C122" s="34" t="n"/>
    </row>
    <row r="123" ht="15.75" customHeight="1" s="49">
      <c r="B123" s="33" t="n"/>
      <c r="C123" s="34" t="n"/>
    </row>
    <row r="124" ht="15.75" customHeight="1" s="49">
      <c r="B124" s="33" t="n"/>
      <c r="C124" s="34" t="n"/>
    </row>
    <row r="125" ht="15.75" customHeight="1" s="49">
      <c r="B125" s="33" t="n"/>
      <c r="C125" s="34" t="n"/>
    </row>
    <row r="126" ht="15.75" customHeight="1" s="49">
      <c r="B126" s="33" t="n"/>
      <c r="C126" s="34" t="n"/>
    </row>
    <row r="127" ht="15.75" customHeight="1" s="49">
      <c r="B127" s="33" t="n"/>
      <c r="C127" s="34" t="n"/>
    </row>
    <row r="128" ht="15.75" customHeight="1" s="49">
      <c r="B128" s="33" t="n"/>
      <c r="C128" s="34" t="n"/>
    </row>
    <row r="129" ht="15.75" customHeight="1" s="49">
      <c r="B129" s="33" t="n"/>
      <c r="C129" s="34" t="n"/>
    </row>
    <row r="130" ht="15.75" customHeight="1" s="49">
      <c r="B130" s="33" t="n"/>
      <c r="C130" s="34" t="n"/>
    </row>
    <row r="131" ht="15.75" customHeight="1" s="49">
      <c r="B131" s="33" t="n"/>
      <c r="C131" s="34" t="n"/>
    </row>
    <row r="132" ht="15.75" customHeight="1" s="49">
      <c r="B132" s="33" t="n"/>
      <c r="C132" s="34" t="n"/>
    </row>
    <row r="133" ht="15.75" customHeight="1" s="49">
      <c r="B133" s="33" t="n"/>
      <c r="C133" s="34" t="n"/>
    </row>
    <row r="134" ht="15.75" customHeight="1" s="49">
      <c r="B134" s="33" t="n"/>
      <c r="C134" s="34" t="n"/>
    </row>
    <row r="135" ht="15.75" customHeight="1" s="49">
      <c r="B135" s="33" t="n"/>
      <c r="C135" s="34" t="n"/>
    </row>
    <row r="136" ht="15.75" customHeight="1" s="49">
      <c r="B136" s="33" t="n"/>
      <c r="C136" s="34" t="n"/>
    </row>
    <row r="137" ht="15.75" customHeight="1" s="49">
      <c r="B137" s="33" t="n"/>
      <c r="C137" s="34" t="n"/>
    </row>
    <row r="138" ht="15.75" customHeight="1" s="49">
      <c r="B138" s="33" t="n"/>
      <c r="C138" s="34" t="n"/>
    </row>
    <row r="139" ht="15.75" customHeight="1" s="49">
      <c r="B139" s="33" t="n"/>
      <c r="C139" s="34" t="n"/>
    </row>
    <row r="140" ht="15.75" customHeight="1" s="49">
      <c r="B140" s="33" t="n"/>
      <c r="C140" s="34" t="n"/>
    </row>
    <row r="141" ht="15.75" customHeight="1" s="49">
      <c r="B141" s="33" t="n"/>
      <c r="C141" s="34" t="n"/>
    </row>
    <row r="142" ht="15.75" customHeight="1" s="49">
      <c r="B142" s="33" t="n"/>
      <c r="C142" s="34" t="n"/>
    </row>
    <row r="143" ht="15.75" customHeight="1" s="49">
      <c r="B143" s="33" t="n"/>
      <c r="C143" s="34" t="n"/>
    </row>
    <row r="144" ht="15.75" customHeight="1" s="49">
      <c r="B144" s="33" t="n"/>
      <c r="C144" s="34" t="n"/>
    </row>
    <row r="145" ht="15.75" customHeight="1" s="49">
      <c r="B145" s="33" t="n"/>
      <c r="C145" s="34" t="n"/>
    </row>
    <row r="146" ht="15.75" customHeight="1" s="49">
      <c r="B146" s="33" t="n"/>
      <c r="C146" s="34" t="n"/>
    </row>
    <row r="147" ht="15.75" customHeight="1" s="49">
      <c r="B147" s="33" t="n"/>
      <c r="C147" s="34" t="n"/>
    </row>
    <row r="148" ht="15.75" customHeight="1" s="49">
      <c r="B148" s="33" t="n"/>
      <c r="C148" s="34" t="n"/>
    </row>
    <row r="149" ht="15.75" customHeight="1" s="49">
      <c r="B149" s="33" t="n"/>
      <c r="C149" s="34" t="n"/>
    </row>
    <row r="150" ht="15.75" customHeight="1" s="49">
      <c r="B150" s="33" t="n"/>
      <c r="C150" s="34" t="n"/>
    </row>
    <row r="151" ht="15.75" customHeight="1" s="49">
      <c r="B151" s="33" t="n"/>
      <c r="C151" s="34" t="n"/>
    </row>
    <row r="152" ht="15.75" customHeight="1" s="49">
      <c r="B152" s="33" t="n"/>
      <c r="C152" s="34" t="n"/>
    </row>
    <row r="153" ht="15.75" customHeight="1" s="49">
      <c r="B153" s="33" t="n"/>
      <c r="C153" s="34" t="n"/>
    </row>
    <row r="154" ht="15.75" customHeight="1" s="49">
      <c r="B154" s="33" t="n"/>
      <c r="C154" s="34" t="n"/>
    </row>
    <row r="155" ht="15.75" customHeight="1" s="49">
      <c r="B155" s="33" t="n"/>
      <c r="C155" s="34" t="n"/>
    </row>
    <row r="156" ht="15.75" customHeight="1" s="49">
      <c r="B156" s="33" t="n"/>
      <c r="C156" s="34" t="n"/>
    </row>
    <row r="157" ht="15.75" customHeight="1" s="49">
      <c r="B157" s="33" t="n"/>
      <c r="C157" s="34" t="n"/>
    </row>
    <row r="158" ht="15.75" customHeight="1" s="49">
      <c r="B158" s="33" t="n"/>
      <c r="C158" s="34" t="n"/>
    </row>
    <row r="159" ht="15.75" customHeight="1" s="49">
      <c r="B159" s="33" t="n"/>
      <c r="C159" s="34" t="n"/>
    </row>
    <row r="160" ht="15.75" customHeight="1" s="49">
      <c r="B160" s="33" t="n"/>
      <c r="C160" s="34" t="n"/>
    </row>
    <row r="161" ht="15.75" customHeight="1" s="49">
      <c r="B161" s="33" t="n"/>
      <c r="C161" s="34" t="n"/>
    </row>
    <row r="162" ht="15.75" customHeight="1" s="49">
      <c r="B162" s="33" t="n"/>
      <c r="C162" s="34" t="n"/>
    </row>
    <row r="163" ht="15.75" customHeight="1" s="49">
      <c r="B163" s="33" t="n"/>
      <c r="C163" s="34" t="n"/>
    </row>
    <row r="164" ht="15.75" customHeight="1" s="49">
      <c r="B164" s="33" t="n"/>
      <c r="C164" s="34" t="n"/>
    </row>
    <row r="165" ht="15.75" customHeight="1" s="49">
      <c r="B165" s="33" t="n"/>
      <c r="C165" s="34" t="n"/>
    </row>
    <row r="166" ht="15.75" customHeight="1" s="49">
      <c r="B166" s="33" t="n"/>
      <c r="C166" s="34" t="n"/>
    </row>
    <row r="167" ht="15.75" customHeight="1" s="49">
      <c r="B167" s="33" t="n"/>
      <c r="C167" s="34" t="n"/>
    </row>
    <row r="168" ht="15.75" customHeight="1" s="49">
      <c r="B168" s="33" t="n"/>
      <c r="C168" s="34" t="n"/>
    </row>
    <row r="169" ht="15.75" customHeight="1" s="49">
      <c r="B169" s="33" t="n"/>
      <c r="C169" s="34" t="n"/>
    </row>
    <row r="170" ht="15.75" customHeight="1" s="49">
      <c r="B170" s="33" t="n"/>
      <c r="C170" s="34" t="n"/>
    </row>
    <row r="171" ht="15.75" customHeight="1" s="49">
      <c r="B171" s="33" t="n"/>
      <c r="C171" s="34" t="n"/>
    </row>
    <row r="172" ht="15.75" customHeight="1" s="49">
      <c r="B172" s="33" t="n"/>
      <c r="C172" s="34" t="n"/>
    </row>
    <row r="173" ht="15.75" customHeight="1" s="49">
      <c r="B173" s="33" t="n"/>
      <c r="C173" s="34" t="n"/>
    </row>
    <row r="174" ht="15.75" customHeight="1" s="49">
      <c r="B174" s="33" t="n"/>
      <c r="C174" s="34" t="n"/>
    </row>
    <row r="175" ht="15.75" customHeight="1" s="49">
      <c r="B175" s="33" t="n"/>
      <c r="C175" s="34" t="n"/>
    </row>
    <row r="176" ht="15.75" customHeight="1" s="49">
      <c r="B176" s="33" t="n"/>
      <c r="C176" s="34" t="n"/>
    </row>
    <row r="177" ht="15.75" customHeight="1" s="49">
      <c r="B177" s="33" t="n"/>
      <c r="C177" s="34" t="n"/>
    </row>
    <row r="178" ht="15.75" customHeight="1" s="49">
      <c r="B178" s="33" t="n"/>
      <c r="C178" s="34" t="n"/>
    </row>
    <row r="179" ht="15.75" customHeight="1" s="49">
      <c r="B179" s="33" t="n"/>
      <c r="C179" s="34" t="n"/>
    </row>
    <row r="180" ht="15.75" customHeight="1" s="49">
      <c r="B180" s="33" t="n"/>
      <c r="C180" s="34" t="n"/>
    </row>
    <row r="181" ht="15.75" customHeight="1" s="49">
      <c r="B181" s="33" t="n"/>
      <c r="C181" s="34" t="n"/>
    </row>
    <row r="182" ht="15.75" customHeight="1" s="49">
      <c r="B182" s="33" t="n"/>
      <c r="C182" s="34" t="n"/>
    </row>
    <row r="183" ht="15.75" customHeight="1" s="49">
      <c r="B183" s="33" t="n"/>
      <c r="C183" s="34" t="n"/>
    </row>
    <row r="184" ht="15.75" customHeight="1" s="49">
      <c r="B184" s="33" t="n"/>
      <c r="C184" s="34" t="n"/>
    </row>
    <row r="185" ht="15.75" customHeight="1" s="49">
      <c r="B185" s="33" t="n"/>
      <c r="C185" s="34" t="n"/>
    </row>
    <row r="186" ht="15.75" customHeight="1" s="49">
      <c r="B186" s="33" t="n"/>
      <c r="C186" s="34" t="n"/>
    </row>
    <row r="187" ht="15.75" customHeight="1" s="49">
      <c r="B187" s="33" t="n"/>
      <c r="C187" s="34" t="n"/>
    </row>
    <row r="188" ht="15.75" customHeight="1" s="49">
      <c r="B188" s="33" t="n"/>
      <c r="C188" s="34" t="n"/>
    </row>
    <row r="189" ht="15.75" customHeight="1" s="49">
      <c r="B189" s="33" t="n"/>
      <c r="C189" s="34" t="n"/>
    </row>
    <row r="190" ht="15.75" customHeight="1" s="49">
      <c r="B190" s="33" t="n"/>
      <c r="C190" s="34" t="n"/>
    </row>
    <row r="191" ht="15.75" customHeight="1" s="49">
      <c r="B191" s="33" t="n"/>
      <c r="C191" s="34" t="n"/>
    </row>
    <row r="192" ht="15.75" customHeight="1" s="49">
      <c r="B192" s="33" t="n"/>
      <c r="C192" s="34" t="n"/>
    </row>
    <row r="193" ht="15.75" customHeight="1" s="49">
      <c r="B193" s="33" t="n"/>
      <c r="C193" s="34" t="n"/>
    </row>
    <row r="194" ht="15.75" customHeight="1" s="49">
      <c r="B194" s="33" t="n"/>
      <c r="C194" s="34" t="n"/>
    </row>
    <row r="195" ht="15.75" customHeight="1" s="49">
      <c r="B195" s="33" t="n"/>
      <c r="C195" s="34" t="n"/>
    </row>
    <row r="196" ht="15.75" customHeight="1" s="49">
      <c r="B196" s="33" t="n"/>
      <c r="C196" s="34" t="n"/>
    </row>
    <row r="197" ht="15.75" customHeight="1" s="49">
      <c r="B197" s="33" t="n"/>
      <c r="C197" s="34" t="n"/>
    </row>
    <row r="198" ht="15.75" customHeight="1" s="49">
      <c r="B198" s="33" t="n"/>
      <c r="C198" s="34" t="n"/>
    </row>
    <row r="199" ht="15.75" customHeight="1" s="49">
      <c r="B199" s="33" t="n"/>
      <c r="C199" s="34" t="n"/>
    </row>
    <row r="200" ht="15.75" customHeight="1" s="49">
      <c r="B200" s="33" t="n"/>
      <c r="C200" s="34" t="n"/>
    </row>
    <row r="201" ht="15.75" customHeight="1" s="49">
      <c r="B201" s="33" t="n"/>
      <c r="C201" s="34" t="n"/>
    </row>
    <row r="202" ht="15.75" customHeight="1" s="49">
      <c r="B202" s="33" t="n"/>
      <c r="C202" s="34" t="n"/>
    </row>
    <row r="203" ht="15.75" customHeight="1" s="49">
      <c r="B203" s="33" t="n"/>
      <c r="C203" s="34" t="n"/>
    </row>
    <row r="204" ht="15.75" customHeight="1" s="49">
      <c r="B204" s="33" t="n"/>
      <c r="C204" s="34" t="n"/>
    </row>
    <row r="205" ht="15.75" customHeight="1" s="49">
      <c r="B205" s="33" t="n"/>
      <c r="C205" s="34" t="n"/>
    </row>
    <row r="206" ht="15.75" customHeight="1" s="49">
      <c r="B206" s="33" t="n"/>
      <c r="C206" s="34" t="n"/>
    </row>
    <row r="207" ht="15.75" customHeight="1" s="49">
      <c r="B207" s="33" t="n"/>
      <c r="C207" s="34" t="n"/>
    </row>
    <row r="208" ht="15.75" customHeight="1" s="49">
      <c r="B208" s="33" t="n"/>
      <c r="C208" s="34" t="n"/>
    </row>
    <row r="209" ht="15.75" customHeight="1" s="49">
      <c r="B209" s="33" t="n"/>
      <c r="C209" s="34" t="n"/>
    </row>
    <row r="210" ht="15.75" customHeight="1" s="49">
      <c r="B210" s="33" t="n"/>
      <c r="C210" s="34" t="n"/>
    </row>
    <row r="211" ht="15.75" customHeight="1" s="49">
      <c r="B211" s="33" t="n"/>
      <c r="C211" s="34" t="n"/>
    </row>
    <row r="212" ht="15.75" customHeight="1" s="49">
      <c r="B212" s="33" t="n"/>
      <c r="C212" s="34" t="n"/>
    </row>
    <row r="213" ht="15.75" customHeight="1" s="49">
      <c r="B213" s="33" t="n"/>
      <c r="C213" s="34" t="n"/>
    </row>
    <row r="214" ht="15.75" customHeight="1" s="49">
      <c r="B214" s="33" t="n"/>
      <c r="C214" s="34" t="n"/>
    </row>
    <row r="215" ht="15.75" customHeight="1" s="49">
      <c r="B215" s="33" t="n"/>
      <c r="C215" s="34" t="n"/>
    </row>
    <row r="216" ht="15.75" customHeight="1" s="49">
      <c r="B216" s="33" t="n"/>
      <c r="C216" s="34" t="n"/>
    </row>
    <row r="217" ht="15.75" customHeight="1" s="49">
      <c r="B217" s="33" t="n"/>
      <c r="C217" s="34" t="n"/>
    </row>
    <row r="218" ht="15.75" customHeight="1" s="49">
      <c r="B218" s="33" t="n"/>
      <c r="C218" s="34" t="n"/>
    </row>
    <row r="219" ht="15.75" customHeight="1" s="49">
      <c r="B219" s="33" t="n"/>
      <c r="C219" s="34" t="n"/>
    </row>
    <row r="220" ht="15.75" customHeight="1" s="49">
      <c r="B220" s="33" t="n"/>
      <c r="C220" s="34" t="n"/>
    </row>
    <row r="221" ht="15.75" customHeight="1" s="49">
      <c r="B221" s="33" t="n"/>
      <c r="C221" s="34" t="n"/>
    </row>
    <row r="222" ht="15.75" customHeight="1" s="49">
      <c r="B222" s="33" t="n"/>
      <c r="C222" s="34" t="n"/>
    </row>
    <row r="223" ht="15.75" customHeight="1" s="49">
      <c r="B223" s="33" t="n"/>
      <c r="C223" s="34" t="n"/>
    </row>
    <row r="224" ht="15.75" customHeight="1" s="49">
      <c r="B224" s="33" t="n"/>
      <c r="C224" s="34" t="n"/>
    </row>
    <row r="225" ht="15.75" customHeight="1" s="49">
      <c r="B225" s="33" t="n"/>
      <c r="C225" s="34" t="n"/>
    </row>
    <row r="226" ht="15.75" customHeight="1" s="49">
      <c r="B226" s="33" t="n"/>
      <c r="C226" s="34" t="n"/>
    </row>
    <row r="227" ht="15.75" customHeight="1" s="49">
      <c r="B227" s="33" t="n"/>
      <c r="C227" s="34" t="n"/>
    </row>
    <row r="228" ht="15.75" customHeight="1" s="49">
      <c r="B228" s="33" t="n"/>
      <c r="C228" s="34" t="n"/>
    </row>
    <row r="229" ht="15.75" customHeight="1" s="49">
      <c r="B229" s="33" t="n"/>
      <c r="C229" s="34" t="n"/>
    </row>
    <row r="230" ht="15.75" customHeight="1" s="49">
      <c r="B230" s="33" t="n"/>
      <c r="C230" s="34" t="n"/>
    </row>
    <row r="231" ht="15.75" customHeight="1" s="49">
      <c r="B231" s="33" t="n"/>
      <c r="C231" s="34" t="n"/>
    </row>
    <row r="232" ht="15.75" customHeight="1" s="49">
      <c r="B232" s="33" t="n"/>
      <c r="C232" s="34" t="n"/>
    </row>
    <row r="233" ht="15.75" customHeight="1" s="49">
      <c r="B233" s="33" t="n"/>
      <c r="C233" s="34" t="n"/>
    </row>
    <row r="234" ht="15.75" customHeight="1" s="49">
      <c r="B234" s="33" t="n"/>
      <c r="C234" s="34" t="n"/>
    </row>
    <row r="235" ht="15.75" customHeight="1" s="49">
      <c r="B235" s="33" t="n"/>
      <c r="C235" s="34" t="n"/>
    </row>
    <row r="236" ht="15.75" customHeight="1" s="49">
      <c r="B236" s="33" t="n"/>
      <c r="C236" s="34" t="n"/>
    </row>
    <row r="237" ht="15.75" customHeight="1" s="49">
      <c r="B237" s="33" t="n"/>
      <c r="C237" s="34" t="n"/>
    </row>
    <row r="238" ht="15.75" customHeight="1" s="49">
      <c r="B238" s="33" t="n"/>
      <c r="C238" s="34" t="n"/>
    </row>
    <row r="239" ht="15.75" customHeight="1" s="49">
      <c r="B239" s="33" t="n"/>
      <c r="C239" s="34" t="n"/>
    </row>
    <row r="240" ht="15.75" customHeight="1" s="49">
      <c r="B240" s="33" t="n"/>
      <c r="C240" s="34" t="n"/>
    </row>
    <row r="241" ht="15.75" customHeight="1" s="49">
      <c r="B241" s="33" t="n"/>
      <c r="C241" s="34" t="n"/>
    </row>
    <row r="242" ht="15.75" customHeight="1" s="49">
      <c r="B242" s="33" t="n"/>
      <c r="C242" s="34" t="n"/>
    </row>
    <row r="243" ht="15.75" customHeight="1" s="49">
      <c r="B243" s="33" t="n"/>
      <c r="C243" s="34" t="n"/>
    </row>
    <row r="244" ht="15.75" customHeight="1" s="49">
      <c r="B244" s="33" t="n"/>
      <c r="C244" s="34" t="n"/>
    </row>
    <row r="245" ht="15.75" customHeight="1" s="49">
      <c r="B245" s="33" t="n"/>
      <c r="C245" s="34" t="n"/>
    </row>
    <row r="246" ht="15.75" customHeight="1" s="49">
      <c r="B246" s="33" t="n"/>
      <c r="C246" s="34" t="n"/>
    </row>
    <row r="247" ht="15.75" customHeight="1" s="49">
      <c r="B247" s="33" t="n"/>
      <c r="C247" s="34" t="n"/>
    </row>
    <row r="248" ht="15.75" customHeight="1" s="49">
      <c r="B248" s="33" t="n"/>
      <c r="C248" s="34" t="n"/>
    </row>
    <row r="249" ht="15.75" customHeight="1" s="49">
      <c r="B249" s="33" t="n"/>
      <c r="C249" s="34" t="n"/>
    </row>
    <row r="250" ht="15.75" customHeight="1" s="49">
      <c r="B250" s="33" t="n"/>
      <c r="C250" s="34" t="n"/>
    </row>
    <row r="251" ht="15.75" customHeight="1" s="49">
      <c r="B251" s="33" t="n"/>
      <c r="C251" s="34" t="n"/>
    </row>
    <row r="252" ht="15.75" customHeight="1" s="49">
      <c r="B252" s="33" t="n"/>
      <c r="C252" s="34" t="n"/>
    </row>
    <row r="253" ht="15.75" customHeight="1" s="49">
      <c r="B253" s="33" t="n"/>
      <c r="C253" s="34" t="n"/>
    </row>
    <row r="254" ht="15.75" customHeight="1" s="49">
      <c r="B254" s="33" t="n"/>
      <c r="C254" s="34" t="n"/>
    </row>
    <row r="255" ht="15.75" customHeight="1" s="49">
      <c r="B255" s="33" t="n"/>
      <c r="C255" s="34" t="n"/>
    </row>
    <row r="256" ht="15.75" customHeight="1" s="49">
      <c r="B256" s="33" t="n"/>
      <c r="C256" s="34" t="n"/>
    </row>
    <row r="257" ht="15.75" customHeight="1" s="49">
      <c r="B257" s="33" t="n"/>
      <c r="C257" s="34" t="n"/>
    </row>
    <row r="258" ht="15.75" customHeight="1" s="49">
      <c r="B258" s="33" t="n"/>
      <c r="C258" s="34" t="n"/>
    </row>
    <row r="259" ht="15.75" customHeight="1" s="49">
      <c r="B259" s="33" t="n"/>
      <c r="C259" s="34" t="n"/>
    </row>
    <row r="260" ht="15.75" customHeight="1" s="49">
      <c r="B260" s="33" t="n"/>
      <c r="C260" s="34" t="n"/>
    </row>
    <row r="261" ht="15.75" customHeight="1" s="49">
      <c r="B261" s="33" t="n"/>
      <c r="C261" s="34" t="n"/>
    </row>
    <row r="262" ht="15.75" customHeight="1" s="49">
      <c r="B262" s="33" t="n"/>
      <c r="C262" s="34" t="n"/>
    </row>
    <row r="263" ht="15.75" customHeight="1" s="49">
      <c r="B263" s="33" t="n"/>
      <c r="C263" s="34" t="n"/>
    </row>
    <row r="264" ht="15.75" customHeight="1" s="49">
      <c r="B264" s="33" t="n"/>
      <c r="C264" s="34" t="n"/>
    </row>
    <row r="265" ht="15.75" customHeight="1" s="49">
      <c r="B265" s="33" t="n"/>
      <c r="C265" s="34" t="n"/>
    </row>
    <row r="266" ht="15.75" customHeight="1" s="49">
      <c r="B266" s="33" t="n"/>
      <c r="C266" s="34" t="n"/>
    </row>
    <row r="267" ht="15.75" customHeight="1" s="49">
      <c r="B267" s="33" t="n"/>
      <c r="C267" s="34" t="n"/>
    </row>
    <row r="268" ht="15.75" customHeight="1" s="49">
      <c r="B268" s="33" t="n"/>
      <c r="C268" s="34" t="n"/>
    </row>
    <row r="269" ht="15.75" customHeight="1" s="49">
      <c r="B269" s="33" t="n"/>
      <c r="C269" s="34" t="n"/>
    </row>
    <row r="270" ht="15.75" customHeight="1" s="49">
      <c r="B270" s="33" t="n"/>
      <c r="C270" s="34" t="n"/>
    </row>
    <row r="271" ht="15.75" customHeight="1" s="49">
      <c r="B271" s="33" t="n"/>
      <c r="C271" s="34" t="n"/>
    </row>
    <row r="272" ht="15.75" customHeight="1" s="49">
      <c r="B272" s="33" t="n"/>
      <c r="C272" s="34" t="n"/>
    </row>
    <row r="273" ht="15.75" customHeight="1" s="49">
      <c r="B273" s="33" t="n"/>
      <c r="C273" s="34" t="n"/>
    </row>
    <row r="274" ht="15.75" customHeight="1" s="49">
      <c r="B274" s="33" t="n"/>
      <c r="C274" s="34" t="n"/>
    </row>
    <row r="275" ht="15.75" customHeight="1" s="49">
      <c r="B275" s="33" t="n"/>
      <c r="C275" s="34" t="n"/>
    </row>
    <row r="276" ht="15.75" customHeight="1" s="49">
      <c r="B276" s="33" t="n"/>
      <c r="C276" s="34" t="n"/>
    </row>
    <row r="277" ht="15.75" customHeight="1" s="49">
      <c r="B277" s="33" t="n"/>
      <c r="C277" s="34" t="n"/>
    </row>
    <row r="278" ht="15.75" customHeight="1" s="49">
      <c r="B278" s="33" t="n"/>
      <c r="C278" s="34" t="n"/>
    </row>
    <row r="279" ht="15.75" customHeight="1" s="49">
      <c r="B279" s="33" t="n"/>
      <c r="C279" s="34" t="n"/>
    </row>
    <row r="280" ht="15.75" customHeight="1" s="49">
      <c r="B280" s="33" t="n"/>
      <c r="C280" s="34" t="n"/>
    </row>
    <row r="281" ht="15.75" customHeight="1" s="49">
      <c r="B281" s="33" t="n"/>
      <c r="C281" s="34" t="n"/>
    </row>
    <row r="282" ht="15.75" customHeight="1" s="49">
      <c r="B282" s="33" t="n"/>
      <c r="C282" s="34" t="n"/>
    </row>
    <row r="283" ht="15.75" customHeight="1" s="49">
      <c r="B283" s="33" t="n"/>
      <c r="C283" s="34" t="n"/>
    </row>
    <row r="284" ht="15.75" customHeight="1" s="49">
      <c r="B284" s="33" t="n"/>
      <c r="C284" s="34" t="n"/>
    </row>
    <row r="285" ht="15.75" customHeight="1" s="49">
      <c r="B285" s="33" t="n"/>
      <c r="C285" s="34" t="n"/>
    </row>
    <row r="286" ht="15.75" customHeight="1" s="49">
      <c r="B286" s="33" t="n"/>
      <c r="C286" s="34" t="n"/>
    </row>
    <row r="287" ht="15.75" customHeight="1" s="49">
      <c r="B287" s="33" t="n"/>
      <c r="C287" s="34" t="n"/>
    </row>
    <row r="288" ht="15.75" customHeight="1" s="49">
      <c r="B288" s="33" t="n"/>
      <c r="C288" s="34" t="n"/>
    </row>
    <row r="289" ht="15.75" customHeight="1" s="49">
      <c r="B289" s="33" t="n"/>
      <c r="C289" s="34" t="n"/>
    </row>
    <row r="290" ht="15.75" customHeight="1" s="49">
      <c r="B290" s="33" t="n"/>
      <c r="C290" s="34" t="n"/>
    </row>
    <row r="291" ht="15.75" customHeight="1" s="49">
      <c r="B291" s="33" t="n"/>
      <c r="C291" s="34" t="n"/>
    </row>
    <row r="292" ht="15.75" customHeight="1" s="49">
      <c r="B292" s="33" t="n"/>
      <c r="C292" s="34" t="n"/>
    </row>
    <row r="293" ht="15.75" customHeight="1" s="49">
      <c r="B293" s="33" t="n"/>
      <c r="C293" s="34" t="n"/>
    </row>
    <row r="294" ht="15.75" customHeight="1" s="49">
      <c r="B294" s="33" t="n"/>
      <c r="C294" s="34" t="n"/>
    </row>
    <row r="295" ht="15.75" customHeight="1" s="49">
      <c r="B295" s="33" t="n"/>
      <c r="C295" s="34" t="n"/>
    </row>
    <row r="296" ht="15.75" customHeight="1" s="49">
      <c r="B296" s="33" t="n"/>
      <c r="C296" s="34" t="n"/>
    </row>
    <row r="297" ht="15.75" customHeight="1" s="49">
      <c r="B297" s="33" t="n"/>
      <c r="C297" s="34" t="n"/>
    </row>
    <row r="298" ht="15.75" customHeight="1" s="49">
      <c r="B298" s="33" t="n"/>
      <c r="C298" s="34" t="n"/>
    </row>
    <row r="299" ht="15.75" customHeight="1" s="49">
      <c r="B299" s="33" t="n"/>
      <c r="C299" s="34" t="n"/>
    </row>
    <row r="300" ht="15.75" customHeight="1" s="49">
      <c r="B300" s="33" t="n"/>
      <c r="C300" s="34" t="n"/>
    </row>
    <row r="301" ht="15.75" customHeight="1" s="49">
      <c r="B301" s="33" t="n"/>
      <c r="C301" s="34" t="n"/>
    </row>
    <row r="302" ht="15.75" customHeight="1" s="49">
      <c r="B302" s="33" t="n"/>
      <c r="C302" s="34" t="n"/>
    </row>
    <row r="303" ht="15.75" customHeight="1" s="49">
      <c r="B303" s="33" t="n"/>
      <c r="C303" s="34" t="n"/>
    </row>
    <row r="304" ht="15.75" customHeight="1" s="49">
      <c r="B304" s="33" t="n"/>
      <c r="C304" s="34" t="n"/>
    </row>
    <row r="305" ht="15.75" customHeight="1" s="49">
      <c r="B305" s="33" t="n"/>
      <c r="C305" s="34" t="n"/>
    </row>
    <row r="306" ht="15.75" customHeight="1" s="49">
      <c r="B306" s="33" t="n"/>
      <c r="C306" s="34" t="n"/>
    </row>
    <row r="307" ht="15.75" customHeight="1" s="49">
      <c r="B307" s="33" t="n"/>
      <c r="C307" s="34" t="n"/>
    </row>
    <row r="308" ht="15.75" customHeight="1" s="49">
      <c r="B308" s="33" t="n"/>
      <c r="C308" s="34" t="n"/>
    </row>
    <row r="309" ht="15.75" customHeight="1" s="49">
      <c r="B309" s="33" t="n"/>
      <c r="C309" s="34" t="n"/>
    </row>
    <row r="310" ht="15.75" customHeight="1" s="49">
      <c r="B310" s="33" t="n"/>
      <c r="C310" s="34" t="n"/>
    </row>
    <row r="311" ht="15.75" customHeight="1" s="49">
      <c r="B311" s="33" t="n"/>
      <c r="C311" s="34" t="n"/>
    </row>
    <row r="312" ht="15.75" customHeight="1" s="49">
      <c r="B312" s="33" t="n"/>
      <c r="C312" s="34" t="n"/>
    </row>
    <row r="313" ht="15.75" customHeight="1" s="49">
      <c r="B313" s="33" t="n"/>
      <c r="C313" s="34" t="n"/>
    </row>
    <row r="314" ht="15.75" customHeight="1" s="49">
      <c r="B314" s="33" t="n"/>
      <c r="C314" s="34" t="n"/>
    </row>
    <row r="315" ht="15.75" customHeight="1" s="49">
      <c r="B315" s="33" t="n"/>
      <c r="C315" s="34" t="n"/>
    </row>
    <row r="316" ht="15.75" customHeight="1" s="49">
      <c r="B316" s="33" t="n"/>
      <c r="C316" s="34" t="n"/>
    </row>
    <row r="317" ht="15.75" customHeight="1" s="49">
      <c r="B317" s="33" t="n"/>
      <c r="C317" s="34" t="n"/>
    </row>
    <row r="318" ht="15.75" customHeight="1" s="49">
      <c r="B318" s="33" t="n"/>
      <c r="C318" s="34" t="n"/>
    </row>
    <row r="319" ht="15.75" customHeight="1" s="49">
      <c r="B319" s="33" t="n"/>
      <c r="C319" s="34" t="n"/>
    </row>
    <row r="320" ht="15.75" customHeight="1" s="49">
      <c r="B320" s="33" t="n"/>
      <c r="C320" s="34" t="n"/>
    </row>
    <row r="321" ht="15.75" customHeight="1" s="49">
      <c r="B321" s="33" t="n"/>
      <c r="C321" s="34" t="n"/>
    </row>
    <row r="322" ht="15.75" customHeight="1" s="49">
      <c r="B322" s="33" t="n"/>
      <c r="C322" s="34" t="n"/>
    </row>
    <row r="323" ht="15.75" customHeight="1" s="49">
      <c r="B323" s="33" t="n"/>
      <c r="C323" s="34" t="n"/>
    </row>
    <row r="324" ht="15.75" customHeight="1" s="49">
      <c r="B324" s="33" t="n"/>
      <c r="C324" s="34" t="n"/>
    </row>
    <row r="325" ht="15.75" customHeight="1" s="49">
      <c r="B325" s="33" t="n"/>
      <c r="C325" s="34" t="n"/>
    </row>
    <row r="326" ht="15.75" customHeight="1" s="49">
      <c r="B326" s="33" t="n"/>
      <c r="C326" s="34" t="n"/>
    </row>
    <row r="327" ht="15.75" customHeight="1" s="49">
      <c r="B327" s="33" t="n"/>
      <c r="C327" s="34" t="n"/>
    </row>
    <row r="328" ht="15.75" customHeight="1" s="49">
      <c r="B328" s="33" t="n"/>
      <c r="C328" s="34" t="n"/>
    </row>
    <row r="329" ht="15.75" customHeight="1" s="49">
      <c r="B329" s="33" t="n"/>
      <c r="C329" s="34" t="n"/>
    </row>
    <row r="330" ht="15.75" customHeight="1" s="49">
      <c r="B330" s="33" t="n"/>
      <c r="C330" s="34" t="n"/>
    </row>
    <row r="331" ht="15.75" customHeight="1" s="49">
      <c r="B331" s="33" t="n"/>
      <c r="C331" s="34" t="n"/>
    </row>
    <row r="332" ht="15.75" customHeight="1" s="49">
      <c r="B332" s="33" t="n"/>
      <c r="C332" s="34" t="n"/>
    </row>
    <row r="333" ht="15.75" customHeight="1" s="49">
      <c r="B333" s="33" t="n"/>
      <c r="C333" s="34" t="n"/>
    </row>
    <row r="334" ht="15.75" customHeight="1" s="49">
      <c r="B334" s="33" t="n"/>
      <c r="C334" s="34" t="n"/>
    </row>
    <row r="335" ht="15.75" customHeight="1" s="49">
      <c r="B335" s="33" t="n"/>
      <c r="C335" s="34" t="n"/>
    </row>
    <row r="336" ht="15.75" customHeight="1" s="49">
      <c r="B336" s="33" t="n"/>
      <c r="C336" s="34" t="n"/>
    </row>
    <row r="337" ht="15.75" customHeight="1" s="49">
      <c r="B337" s="33" t="n"/>
      <c r="C337" s="34" t="n"/>
    </row>
    <row r="338" ht="15.75" customHeight="1" s="49">
      <c r="B338" s="33" t="n"/>
      <c r="C338" s="34" t="n"/>
    </row>
    <row r="339" ht="15.75" customHeight="1" s="49">
      <c r="B339" s="33" t="n"/>
      <c r="C339" s="34" t="n"/>
    </row>
    <row r="340" ht="15.75" customHeight="1" s="49">
      <c r="B340" s="33" t="n"/>
      <c r="C340" s="34" t="n"/>
    </row>
    <row r="341" ht="15.75" customHeight="1" s="49">
      <c r="B341" s="33" t="n"/>
      <c r="C341" s="34" t="n"/>
    </row>
    <row r="342" ht="15.75" customHeight="1" s="49">
      <c r="B342" s="33" t="n"/>
      <c r="C342" s="34" t="n"/>
    </row>
    <row r="343" ht="15.75" customHeight="1" s="49">
      <c r="B343" s="33" t="n"/>
      <c r="C343" s="34" t="n"/>
    </row>
    <row r="344" ht="15.75" customHeight="1" s="49">
      <c r="B344" s="33" t="n"/>
      <c r="C344" s="34" t="n"/>
    </row>
    <row r="345" ht="15.75" customHeight="1" s="49">
      <c r="B345" s="33" t="n"/>
      <c r="C345" s="34" t="n"/>
    </row>
    <row r="346" ht="15.75" customHeight="1" s="49">
      <c r="B346" s="33" t="n"/>
      <c r="C346" s="34" t="n"/>
    </row>
    <row r="347" ht="15.75" customHeight="1" s="49">
      <c r="B347" s="33" t="n"/>
      <c r="C347" s="34" t="n"/>
    </row>
    <row r="348" ht="15.75" customHeight="1" s="49">
      <c r="B348" s="33" t="n"/>
      <c r="C348" s="34" t="n"/>
    </row>
    <row r="349" ht="15.75" customHeight="1" s="49">
      <c r="B349" s="33" t="n"/>
      <c r="C349" s="34" t="n"/>
    </row>
    <row r="350" ht="15.75" customHeight="1" s="49">
      <c r="B350" s="33" t="n"/>
      <c r="C350" s="34" t="n"/>
    </row>
    <row r="351" ht="15.75" customHeight="1" s="49">
      <c r="B351" s="33" t="n"/>
      <c r="C351" s="34" t="n"/>
    </row>
    <row r="352" ht="15.75" customHeight="1" s="49">
      <c r="B352" s="33" t="n"/>
      <c r="C352" s="34" t="n"/>
    </row>
    <row r="353" ht="15.75" customHeight="1" s="49">
      <c r="B353" s="33" t="n"/>
      <c r="C353" s="34" t="n"/>
    </row>
    <row r="354" ht="15.75" customHeight="1" s="49">
      <c r="B354" s="33" t="n"/>
      <c r="C354" s="34" t="n"/>
    </row>
    <row r="355" ht="15.75" customHeight="1" s="49">
      <c r="B355" s="33" t="n"/>
      <c r="C355" s="34" t="n"/>
    </row>
    <row r="356" ht="15.75" customHeight="1" s="49">
      <c r="B356" s="33" t="n"/>
      <c r="C356" s="34" t="n"/>
    </row>
    <row r="357" ht="15.75" customHeight="1" s="49">
      <c r="B357" s="33" t="n"/>
      <c r="C357" s="34" t="n"/>
    </row>
    <row r="358" ht="15.75" customHeight="1" s="49">
      <c r="B358" s="33" t="n"/>
      <c r="C358" s="34" t="n"/>
    </row>
    <row r="359" ht="15.75" customHeight="1" s="49">
      <c r="B359" s="33" t="n"/>
      <c r="C359" s="34" t="n"/>
    </row>
    <row r="360" ht="15.75" customHeight="1" s="49">
      <c r="B360" s="33" t="n"/>
      <c r="C360" s="34" t="n"/>
    </row>
    <row r="361" ht="15.75" customHeight="1" s="49">
      <c r="B361" s="33" t="n"/>
      <c r="C361" s="34" t="n"/>
    </row>
    <row r="362" ht="15.75" customHeight="1" s="49">
      <c r="B362" s="33" t="n"/>
      <c r="C362" s="34" t="n"/>
    </row>
    <row r="363" ht="15.75" customHeight="1" s="49">
      <c r="B363" s="33" t="n"/>
      <c r="C363" s="34" t="n"/>
    </row>
    <row r="364" ht="15.75" customHeight="1" s="49">
      <c r="B364" s="33" t="n"/>
      <c r="C364" s="34" t="n"/>
    </row>
    <row r="365" ht="15.75" customHeight="1" s="49">
      <c r="B365" s="33" t="n"/>
      <c r="C365" s="34" t="n"/>
    </row>
    <row r="366" ht="15.75" customHeight="1" s="49">
      <c r="B366" s="33" t="n"/>
      <c r="C366" s="34" t="n"/>
    </row>
    <row r="367" ht="15.75" customHeight="1" s="49">
      <c r="B367" s="33" t="n"/>
      <c r="C367" s="34" t="n"/>
    </row>
    <row r="368" ht="15.75" customHeight="1" s="49">
      <c r="B368" s="33" t="n"/>
      <c r="C368" s="34" t="n"/>
    </row>
    <row r="369" ht="15.75" customHeight="1" s="49">
      <c r="B369" s="33" t="n"/>
      <c r="C369" s="34" t="n"/>
    </row>
    <row r="370" ht="15.75" customHeight="1" s="49">
      <c r="B370" s="33" t="n"/>
      <c r="C370" s="34" t="n"/>
    </row>
    <row r="371" ht="15.75" customHeight="1" s="49">
      <c r="B371" s="33" t="n"/>
      <c r="C371" s="34" t="n"/>
    </row>
    <row r="372" ht="15.75" customHeight="1" s="49">
      <c r="B372" s="33" t="n"/>
      <c r="C372" s="34" t="n"/>
    </row>
    <row r="373" ht="15.75" customHeight="1" s="49">
      <c r="B373" s="33" t="n"/>
      <c r="C373" s="34" t="n"/>
    </row>
    <row r="374" ht="15.75" customHeight="1" s="49">
      <c r="B374" s="33" t="n"/>
      <c r="C374" s="34" t="n"/>
    </row>
    <row r="375" ht="15.75" customHeight="1" s="49">
      <c r="B375" s="33" t="n"/>
      <c r="C375" s="34" t="n"/>
    </row>
    <row r="376" ht="15.75" customHeight="1" s="49">
      <c r="B376" s="33" t="n"/>
      <c r="C376" s="34" t="n"/>
    </row>
    <row r="377" ht="15.75" customHeight="1" s="49">
      <c r="B377" s="33" t="n"/>
      <c r="C377" s="34" t="n"/>
    </row>
    <row r="378" ht="15.75" customHeight="1" s="49">
      <c r="B378" s="33" t="n"/>
      <c r="C378" s="34" t="n"/>
    </row>
    <row r="379" ht="15.75" customHeight="1" s="49">
      <c r="B379" s="33" t="n"/>
      <c r="C379" s="34" t="n"/>
    </row>
    <row r="380" ht="15.75" customHeight="1" s="49">
      <c r="B380" s="33" t="n"/>
      <c r="C380" s="34" t="n"/>
    </row>
    <row r="381" ht="15.75" customHeight="1" s="49">
      <c r="B381" s="33" t="n"/>
      <c r="C381" s="34" t="n"/>
    </row>
    <row r="382" ht="15.75" customHeight="1" s="49">
      <c r="B382" s="33" t="n"/>
      <c r="C382" s="34" t="n"/>
    </row>
    <row r="383" ht="15.75" customHeight="1" s="49">
      <c r="B383" s="33" t="n"/>
      <c r="C383" s="34" t="n"/>
    </row>
    <row r="384" ht="15.75" customHeight="1" s="49">
      <c r="B384" s="33" t="n"/>
      <c r="C384" s="34" t="n"/>
    </row>
    <row r="385" ht="15.75" customHeight="1" s="49">
      <c r="B385" s="33" t="n"/>
      <c r="C385" s="34" t="n"/>
    </row>
    <row r="386" ht="15.75" customHeight="1" s="49">
      <c r="B386" s="33" t="n"/>
      <c r="C386" s="34" t="n"/>
    </row>
    <row r="387" ht="15.75" customHeight="1" s="49">
      <c r="B387" s="33" t="n"/>
      <c r="C387" s="34" t="n"/>
    </row>
    <row r="388" ht="15.75" customHeight="1" s="49">
      <c r="B388" s="33" t="n"/>
      <c r="C388" s="34" t="n"/>
    </row>
    <row r="389" ht="15.75" customHeight="1" s="49">
      <c r="B389" s="33" t="n"/>
      <c r="C389" s="34" t="n"/>
    </row>
    <row r="390" ht="15.75" customHeight="1" s="49">
      <c r="B390" s="33" t="n"/>
      <c r="C390" s="34" t="n"/>
    </row>
    <row r="391" ht="15.75" customHeight="1" s="49">
      <c r="B391" s="33" t="n"/>
      <c r="C391" s="34" t="n"/>
    </row>
    <row r="392" ht="15.75" customHeight="1" s="49">
      <c r="B392" s="33" t="n"/>
      <c r="C392" s="34" t="n"/>
    </row>
    <row r="393" ht="15.75" customHeight="1" s="49">
      <c r="B393" s="33" t="n"/>
      <c r="C393" s="34" t="n"/>
    </row>
    <row r="394" ht="15.75" customHeight="1" s="49">
      <c r="B394" s="33" t="n"/>
      <c r="C394" s="34" t="n"/>
    </row>
    <row r="395" ht="15.75" customHeight="1" s="49">
      <c r="B395" s="33" t="n"/>
      <c r="C395" s="34" t="n"/>
    </row>
    <row r="396" ht="15.75" customHeight="1" s="49">
      <c r="B396" s="33" t="n"/>
      <c r="C396" s="34" t="n"/>
    </row>
    <row r="397" ht="15.75" customHeight="1" s="49">
      <c r="B397" s="33" t="n"/>
      <c r="C397" s="34" t="n"/>
    </row>
    <row r="398" ht="15.75" customHeight="1" s="49">
      <c r="B398" s="33" t="n"/>
      <c r="C398" s="34" t="n"/>
    </row>
    <row r="399" ht="15.75" customHeight="1" s="49">
      <c r="B399" s="33" t="n"/>
      <c r="C399" s="34" t="n"/>
    </row>
    <row r="400" ht="15.75" customHeight="1" s="49">
      <c r="B400" s="33" t="n"/>
      <c r="C400" s="34" t="n"/>
    </row>
    <row r="401" ht="15.75" customHeight="1" s="49">
      <c r="B401" s="33" t="n"/>
      <c r="C401" s="34" t="n"/>
    </row>
    <row r="402" ht="15.75" customHeight="1" s="49">
      <c r="B402" s="33" t="n"/>
      <c r="C402" s="34" t="n"/>
    </row>
    <row r="403" ht="15.75" customHeight="1" s="49">
      <c r="B403" s="33" t="n"/>
      <c r="C403" s="34" t="n"/>
    </row>
    <row r="404" ht="15.75" customHeight="1" s="49">
      <c r="B404" s="33" t="n"/>
      <c r="C404" s="34" t="n"/>
    </row>
    <row r="405" ht="15.75" customHeight="1" s="49">
      <c r="B405" s="33" t="n"/>
      <c r="C405" s="34" t="n"/>
    </row>
    <row r="406" ht="15.75" customHeight="1" s="49">
      <c r="B406" s="33" t="n"/>
      <c r="C406" s="34" t="n"/>
    </row>
    <row r="407" ht="15.75" customHeight="1" s="49">
      <c r="B407" s="33" t="n"/>
      <c r="C407" s="34" t="n"/>
    </row>
    <row r="408" ht="15.75" customHeight="1" s="49">
      <c r="B408" s="33" t="n"/>
      <c r="C408" s="34" t="n"/>
    </row>
    <row r="409" ht="15.75" customHeight="1" s="49">
      <c r="B409" s="33" t="n"/>
      <c r="C409" s="34" t="n"/>
    </row>
    <row r="410" ht="15.75" customHeight="1" s="49">
      <c r="B410" s="33" t="n"/>
      <c r="C410" s="34" t="n"/>
    </row>
    <row r="411" ht="15.75" customHeight="1" s="49">
      <c r="B411" s="33" t="n"/>
      <c r="C411" s="34" t="n"/>
    </row>
    <row r="412" ht="15.75" customHeight="1" s="49">
      <c r="B412" s="33" t="n"/>
      <c r="C412" s="34" t="n"/>
    </row>
    <row r="413" ht="15.75" customHeight="1" s="49">
      <c r="B413" s="33" t="n"/>
      <c r="C413" s="34" t="n"/>
    </row>
    <row r="414" ht="15.75" customHeight="1" s="49">
      <c r="B414" s="33" t="n"/>
      <c r="C414" s="34" t="n"/>
    </row>
    <row r="415" ht="15.75" customHeight="1" s="49">
      <c r="B415" s="33" t="n"/>
      <c r="C415" s="34" t="n"/>
    </row>
    <row r="416" ht="15.75" customHeight="1" s="49">
      <c r="B416" s="33" t="n"/>
      <c r="C416" s="34" t="n"/>
    </row>
    <row r="417" ht="15.75" customHeight="1" s="49">
      <c r="B417" s="33" t="n"/>
      <c r="C417" s="34" t="n"/>
    </row>
    <row r="418" ht="15.75" customHeight="1" s="49">
      <c r="B418" s="33" t="n"/>
      <c r="C418" s="34" t="n"/>
    </row>
    <row r="419" ht="15.75" customHeight="1" s="49">
      <c r="B419" s="33" t="n"/>
      <c r="C419" s="34" t="n"/>
    </row>
    <row r="420" ht="15.75" customHeight="1" s="49">
      <c r="B420" s="33" t="n"/>
      <c r="C420" s="34" t="n"/>
    </row>
    <row r="421" ht="15.75" customHeight="1" s="49">
      <c r="B421" s="33" t="n"/>
      <c r="C421" s="34" t="n"/>
    </row>
    <row r="422" ht="15.75" customHeight="1" s="49">
      <c r="B422" s="33" t="n"/>
      <c r="C422" s="34" t="n"/>
    </row>
    <row r="423" ht="15.75" customHeight="1" s="49">
      <c r="B423" s="33" t="n"/>
      <c r="C423" s="34" t="n"/>
    </row>
    <row r="424" ht="15.75" customHeight="1" s="49">
      <c r="B424" s="33" t="n"/>
      <c r="C424" s="34" t="n"/>
    </row>
    <row r="425" ht="15.75" customHeight="1" s="49">
      <c r="B425" s="33" t="n"/>
      <c r="C425" s="34" t="n"/>
    </row>
    <row r="426" ht="15.75" customHeight="1" s="49">
      <c r="B426" s="33" t="n"/>
      <c r="C426" s="34" t="n"/>
    </row>
    <row r="427" ht="15.75" customHeight="1" s="49">
      <c r="B427" s="33" t="n"/>
      <c r="C427" s="34" t="n"/>
    </row>
    <row r="428" ht="15.75" customHeight="1" s="49">
      <c r="B428" s="33" t="n"/>
      <c r="C428" s="34" t="n"/>
    </row>
    <row r="429" ht="15.75" customHeight="1" s="49">
      <c r="B429" s="33" t="n"/>
      <c r="C429" s="34" t="n"/>
    </row>
    <row r="430" ht="15.75" customHeight="1" s="49">
      <c r="B430" s="33" t="n"/>
      <c r="C430" s="34" t="n"/>
    </row>
    <row r="431" ht="15.75" customHeight="1" s="49">
      <c r="B431" s="33" t="n"/>
      <c r="C431" s="34" t="n"/>
    </row>
    <row r="432" ht="15.75" customHeight="1" s="49">
      <c r="B432" s="33" t="n"/>
      <c r="C432" s="34" t="n"/>
    </row>
    <row r="433" ht="15.75" customHeight="1" s="49">
      <c r="B433" s="33" t="n"/>
      <c r="C433" s="34" t="n"/>
    </row>
    <row r="434" ht="15.75" customHeight="1" s="49">
      <c r="B434" s="33" t="n"/>
      <c r="C434" s="34" t="n"/>
    </row>
    <row r="435" ht="15.75" customHeight="1" s="49">
      <c r="B435" s="33" t="n"/>
      <c r="C435" s="34" t="n"/>
    </row>
    <row r="436" ht="15.75" customHeight="1" s="49">
      <c r="B436" s="33" t="n"/>
      <c r="C436" s="34" t="n"/>
    </row>
    <row r="437" ht="15.75" customHeight="1" s="49">
      <c r="B437" s="33" t="n"/>
      <c r="C437" s="34" t="n"/>
    </row>
    <row r="438" ht="15.75" customHeight="1" s="49">
      <c r="B438" s="33" t="n"/>
      <c r="C438" s="34" t="n"/>
    </row>
    <row r="439" ht="15.75" customHeight="1" s="49">
      <c r="B439" s="33" t="n"/>
      <c r="C439" s="34" t="n"/>
    </row>
    <row r="440" ht="15.75" customHeight="1" s="49">
      <c r="B440" s="33" t="n"/>
      <c r="C440" s="34" t="n"/>
    </row>
    <row r="441" ht="15.75" customHeight="1" s="49">
      <c r="B441" s="33" t="n"/>
      <c r="C441" s="34" t="n"/>
    </row>
    <row r="442" ht="15.75" customHeight="1" s="49">
      <c r="B442" s="33" t="n"/>
      <c r="C442" s="34" t="n"/>
    </row>
    <row r="443" ht="15.75" customHeight="1" s="49">
      <c r="B443" s="33" t="n"/>
      <c r="C443" s="34" t="n"/>
    </row>
    <row r="444" ht="15.75" customHeight="1" s="49">
      <c r="B444" s="33" t="n"/>
      <c r="C444" s="34" t="n"/>
    </row>
    <row r="445" ht="15.75" customHeight="1" s="49">
      <c r="B445" s="33" t="n"/>
      <c r="C445" s="34" t="n"/>
    </row>
    <row r="446" ht="15.75" customHeight="1" s="49">
      <c r="B446" s="33" t="n"/>
      <c r="C446" s="34" t="n"/>
    </row>
    <row r="447" ht="15.75" customHeight="1" s="49">
      <c r="B447" s="33" t="n"/>
      <c r="C447" s="34" t="n"/>
    </row>
    <row r="448" ht="15.75" customHeight="1" s="49">
      <c r="B448" s="33" t="n"/>
      <c r="C448" s="34" t="n"/>
    </row>
    <row r="449" ht="15.75" customHeight="1" s="49">
      <c r="B449" s="33" t="n"/>
      <c r="C449" s="34" t="n"/>
    </row>
    <row r="450" ht="15.75" customHeight="1" s="49">
      <c r="B450" s="33" t="n"/>
      <c r="C450" s="34" t="n"/>
    </row>
    <row r="451" ht="15.75" customHeight="1" s="49">
      <c r="B451" s="33" t="n"/>
      <c r="C451" s="34" t="n"/>
    </row>
    <row r="452" ht="15.75" customHeight="1" s="49">
      <c r="B452" s="33" t="n"/>
      <c r="C452" s="34" t="n"/>
    </row>
    <row r="453" ht="15.75" customHeight="1" s="49">
      <c r="B453" s="33" t="n"/>
      <c r="C453" s="34" t="n"/>
    </row>
    <row r="454" ht="15.75" customHeight="1" s="49">
      <c r="B454" s="33" t="n"/>
      <c r="C454" s="34" t="n"/>
    </row>
    <row r="455" ht="15.75" customHeight="1" s="49">
      <c r="B455" s="33" t="n"/>
      <c r="C455" s="34" t="n"/>
    </row>
    <row r="456" ht="15.75" customHeight="1" s="49">
      <c r="B456" s="33" t="n"/>
      <c r="C456" s="34" t="n"/>
    </row>
    <row r="457" ht="15.75" customHeight="1" s="49">
      <c r="B457" s="33" t="n"/>
      <c r="C457" s="34" t="n"/>
    </row>
    <row r="458" ht="15.75" customHeight="1" s="49">
      <c r="B458" s="33" t="n"/>
      <c r="C458" s="34" t="n"/>
    </row>
    <row r="459" ht="15.75" customHeight="1" s="49">
      <c r="B459" s="33" t="n"/>
      <c r="C459" s="34" t="n"/>
    </row>
    <row r="460" ht="15.75" customHeight="1" s="49">
      <c r="B460" s="33" t="n"/>
      <c r="C460" s="34" t="n"/>
    </row>
    <row r="461" ht="15.75" customHeight="1" s="49">
      <c r="B461" s="33" t="n"/>
      <c r="C461" s="34" t="n"/>
    </row>
    <row r="462" ht="15.75" customHeight="1" s="49">
      <c r="B462" s="33" t="n"/>
      <c r="C462" s="34" t="n"/>
    </row>
    <row r="463" ht="15.75" customHeight="1" s="49">
      <c r="B463" s="33" t="n"/>
      <c r="C463" s="34" t="n"/>
    </row>
    <row r="464" ht="15.75" customHeight="1" s="49">
      <c r="B464" s="33" t="n"/>
      <c r="C464" s="34" t="n"/>
    </row>
    <row r="465" ht="15.75" customHeight="1" s="49">
      <c r="B465" s="33" t="n"/>
      <c r="C465" s="34" t="n"/>
    </row>
    <row r="466" ht="15.75" customHeight="1" s="49">
      <c r="B466" s="33" t="n"/>
      <c r="C466" s="34" t="n"/>
    </row>
    <row r="467" ht="15.75" customHeight="1" s="49">
      <c r="B467" s="33" t="n"/>
      <c r="C467" s="34" t="n"/>
    </row>
    <row r="468" ht="15.75" customHeight="1" s="49">
      <c r="B468" s="33" t="n"/>
      <c r="C468" s="34" t="n"/>
    </row>
    <row r="469" ht="15.75" customHeight="1" s="49">
      <c r="B469" s="33" t="n"/>
      <c r="C469" s="34" t="n"/>
    </row>
    <row r="470" ht="15.75" customHeight="1" s="49">
      <c r="B470" s="33" t="n"/>
      <c r="C470" s="34" t="n"/>
    </row>
    <row r="471" ht="15.75" customHeight="1" s="49">
      <c r="B471" s="33" t="n"/>
      <c r="C471" s="34" t="n"/>
    </row>
    <row r="472" ht="15.75" customHeight="1" s="49">
      <c r="B472" s="33" t="n"/>
      <c r="C472" s="34" t="n"/>
    </row>
    <row r="473" ht="15.75" customHeight="1" s="49">
      <c r="B473" s="33" t="n"/>
      <c r="C473" s="34" t="n"/>
    </row>
    <row r="474" ht="15.75" customHeight="1" s="49">
      <c r="B474" s="33" t="n"/>
      <c r="C474" s="34" t="n"/>
    </row>
    <row r="475" ht="15.75" customHeight="1" s="49">
      <c r="B475" s="33" t="n"/>
      <c r="C475" s="34" t="n"/>
    </row>
    <row r="476" ht="15.75" customHeight="1" s="49">
      <c r="B476" s="33" t="n"/>
      <c r="C476" s="34" t="n"/>
    </row>
    <row r="477" ht="15.75" customHeight="1" s="49">
      <c r="B477" s="33" t="n"/>
      <c r="C477" s="34" t="n"/>
    </row>
    <row r="478" ht="15.75" customHeight="1" s="49">
      <c r="B478" s="33" t="n"/>
      <c r="C478" s="34" t="n"/>
    </row>
    <row r="479" ht="15.75" customHeight="1" s="49">
      <c r="B479" s="33" t="n"/>
      <c r="C479" s="34" t="n"/>
    </row>
    <row r="480" ht="15.75" customHeight="1" s="49">
      <c r="B480" s="33" t="n"/>
      <c r="C480" s="34" t="n"/>
    </row>
    <row r="481" ht="15.75" customHeight="1" s="49">
      <c r="B481" s="33" t="n"/>
      <c r="C481" s="34" t="n"/>
    </row>
    <row r="482" ht="15.75" customHeight="1" s="49">
      <c r="B482" s="33" t="n"/>
      <c r="C482" s="34" t="n"/>
    </row>
    <row r="483" ht="15.75" customHeight="1" s="49">
      <c r="B483" s="33" t="n"/>
      <c r="C483" s="34" t="n"/>
    </row>
    <row r="484" ht="15.75" customHeight="1" s="49">
      <c r="B484" s="33" t="n"/>
      <c r="C484" s="34" t="n"/>
    </row>
    <row r="485" ht="15.75" customHeight="1" s="49">
      <c r="B485" s="33" t="n"/>
      <c r="C485" s="34" t="n"/>
    </row>
    <row r="486" ht="15.75" customHeight="1" s="49">
      <c r="B486" s="33" t="n"/>
      <c r="C486" s="34" t="n"/>
    </row>
    <row r="487" ht="15.75" customHeight="1" s="49">
      <c r="B487" s="33" t="n"/>
      <c r="C487" s="34" t="n"/>
    </row>
    <row r="488" ht="15.75" customHeight="1" s="49">
      <c r="B488" s="33" t="n"/>
      <c r="C488" s="34" t="n"/>
    </row>
    <row r="489" ht="15.75" customHeight="1" s="49">
      <c r="B489" s="33" t="n"/>
      <c r="C489" s="34" t="n"/>
    </row>
    <row r="490" ht="15.75" customHeight="1" s="49">
      <c r="B490" s="33" t="n"/>
      <c r="C490" s="34" t="n"/>
    </row>
    <row r="491" ht="15.75" customHeight="1" s="49">
      <c r="B491" s="33" t="n"/>
      <c r="C491" s="34" t="n"/>
    </row>
    <row r="492" ht="15.75" customHeight="1" s="49">
      <c r="B492" s="33" t="n"/>
      <c r="C492" s="34" t="n"/>
    </row>
    <row r="493" ht="15.75" customHeight="1" s="49">
      <c r="B493" s="33" t="n"/>
      <c r="C493" s="34" t="n"/>
    </row>
    <row r="494" ht="15.75" customHeight="1" s="49">
      <c r="B494" s="33" t="n"/>
      <c r="C494" s="34" t="n"/>
    </row>
    <row r="495" ht="15.75" customHeight="1" s="49">
      <c r="B495" s="33" t="n"/>
      <c r="C495" s="34" t="n"/>
    </row>
    <row r="496" ht="15.75" customHeight="1" s="49">
      <c r="B496" s="33" t="n"/>
      <c r="C496" s="34" t="n"/>
    </row>
    <row r="497" ht="15.75" customHeight="1" s="49">
      <c r="B497" s="33" t="n"/>
      <c r="C497" s="34" t="n"/>
    </row>
    <row r="498" ht="15.75" customHeight="1" s="49">
      <c r="B498" s="33" t="n"/>
      <c r="C498" s="34" t="n"/>
    </row>
    <row r="499" ht="15.75" customHeight="1" s="49">
      <c r="B499" s="33" t="n"/>
      <c r="C499" s="34" t="n"/>
    </row>
    <row r="500" ht="15.75" customHeight="1" s="49">
      <c r="B500" s="33" t="n"/>
      <c r="C500" s="34" t="n"/>
    </row>
    <row r="501" ht="15.75" customHeight="1" s="49">
      <c r="B501" s="33" t="n"/>
      <c r="C501" s="34" t="n"/>
    </row>
    <row r="502" ht="15.75" customHeight="1" s="49">
      <c r="B502" s="33" t="n"/>
      <c r="C502" s="34" t="n"/>
    </row>
    <row r="503" ht="15.75" customHeight="1" s="49">
      <c r="B503" s="33" t="n"/>
      <c r="C503" s="34" t="n"/>
    </row>
    <row r="504" ht="15.75" customHeight="1" s="49">
      <c r="B504" s="33" t="n"/>
      <c r="C504" s="34" t="n"/>
    </row>
    <row r="505" ht="15.75" customHeight="1" s="49">
      <c r="B505" s="33" t="n"/>
      <c r="C505" s="34" t="n"/>
    </row>
    <row r="506" ht="15.75" customHeight="1" s="49">
      <c r="B506" s="33" t="n"/>
      <c r="C506" s="34" t="n"/>
    </row>
    <row r="507" ht="15.75" customHeight="1" s="49">
      <c r="B507" s="33" t="n"/>
      <c r="C507" s="34" t="n"/>
    </row>
    <row r="508" ht="15.75" customHeight="1" s="49">
      <c r="B508" s="33" t="n"/>
      <c r="C508" s="34" t="n"/>
    </row>
    <row r="509" ht="15.75" customHeight="1" s="49">
      <c r="B509" s="33" t="n"/>
      <c r="C509" s="34" t="n"/>
    </row>
    <row r="510" ht="15.75" customHeight="1" s="49">
      <c r="B510" s="33" t="n"/>
      <c r="C510" s="34" t="n"/>
    </row>
    <row r="511" ht="15.75" customHeight="1" s="49">
      <c r="B511" s="33" t="n"/>
      <c r="C511" s="34" t="n"/>
    </row>
    <row r="512" ht="15.75" customHeight="1" s="49">
      <c r="B512" s="33" t="n"/>
      <c r="C512" s="34" t="n"/>
    </row>
    <row r="513" ht="15.75" customHeight="1" s="49">
      <c r="B513" s="33" t="n"/>
      <c r="C513" s="34" t="n"/>
    </row>
    <row r="514" ht="15.75" customHeight="1" s="49">
      <c r="B514" s="33" t="n"/>
      <c r="C514" s="34" t="n"/>
    </row>
    <row r="515" ht="15.75" customHeight="1" s="49">
      <c r="B515" s="33" t="n"/>
      <c r="C515" s="34" t="n"/>
    </row>
    <row r="516" ht="15.75" customHeight="1" s="49">
      <c r="B516" s="33" t="n"/>
      <c r="C516" s="34" t="n"/>
    </row>
    <row r="517" ht="15.75" customHeight="1" s="49">
      <c r="B517" s="33" t="n"/>
      <c r="C517" s="34" t="n"/>
    </row>
    <row r="518" ht="15.75" customHeight="1" s="49">
      <c r="B518" s="33" t="n"/>
      <c r="C518" s="34" t="n"/>
    </row>
    <row r="519" ht="15.75" customHeight="1" s="49">
      <c r="B519" s="33" t="n"/>
      <c r="C519" s="34" t="n"/>
    </row>
    <row r="520" ht="15.75" customHeight="1" s="49">
      <c r="B520" s="33" t="n"/>
      <c r="C520" s="34" t="n"/>
    </row>
    <row r="521" ht="15.75" customHeight="1" s="49">
      <c r="B521" s="33" t="n"/>
      <c r="C521" s="34" t="n"/>
    </row>
    <row r="522" ht="15.75" customHeight="1" s="49">
      <c r="B522" s="33" t="n"/>
      <c r="C522" s="34" t="n"/>
    </row>
    <row r="523" ht="15.75" customHeight="1" s="49">
      <c r="B523" s="33" t="n"/>
      <c r="C523" s="34" t="n"/>
    </row>
    <row r="524" ht="15.75" customHeight="1" s="49">
      <c r="B524" s="33" t="n"/>
      <c r="C524" s="34" t="n"/>
    </row>
    <row r="525" ht="15.75" customHeight="1" s="49">
      <c r="B525" s="33" t="n"/>
      <c r="C525" s="34" t="n"/>
    </row>
    <row r="526" ht="15.75" customHeight="1" s="49">
      <c r="B526" s="33" t="n"/>
      <c r="C526" s="34" t="n"/>
    </row>
    <row r="527" ht="15.75" customHeight="1" s="49">
      <c r="B527" s="33" t="n"/>
      <c r="C527" s="34" t="n"/>
    </row>
    <row r="528" ht="15.75" customHeight="1" s="49">
      <c r="B528" s="33" t="n"/>
      <c r="C528" s="34" t="n"/>
    </row>
    <row r="529" ht="15.75" customHeight="1" s="49">
      <c r="B529" s="33" t="n"/>
      <c r="C529" s="34" t="n"/>
    </row>
    <row r="530" ht="15.75" customHeight="1" s="49">
      <c r="B530" s="33" t="n"/>
      <c r="C530" s="34" t="n"/>
    </row>
    <row r="531" ht="15.75" customHeight="1" s="49">
      <c r="B531" s="33" t="n"/>
      <c r="C531" s="34" t="n"/>
    </row>
    <row r="532" ht="15.75" customHeight="1" s="49">
      <c r="B532" s="33" t="n"/>
      <c r="C532" s="34" t="n"/>
    </row>
    <row r="533" ht="15.75" customHeight="1" s="49">
      <c r="B533" s="33" t="n"/>
      <c r="C533" s="34" t="n"/>
    </row>
    <row r="534" ht="15.75" customHeight="1" s="49">
      <c r="B534" s="33" t="n"/>
      <c r="C534" s="34" t="n"/>
    </row>
    <row r="535" ht="15.75" customHeight="1" s="49">
      <c r="B535" s="33" t="n"/>
      <c r="C535" s="34" t="n"/>
    </row>
    <row r="536" ht="15.75" customHeight="1" s="49">
      <c r="B536" s="33" t="n"/>
      <c r="C536" s="34" t="n"/>
    </row>
    <row r="537" ht="15.75" customHeight="1" s="49">
      <c r="B537" s="33" t="n"/>
      <c r="C537" s="34" t="n"/>
    </row>
    <row r="538" ht="15.75" customHeight="1" s="49">
      <c r="B538" s="33" t="n"/>
      <c r="C538" s="34" t="n"/>
    </row>
    <row r="539" ht="15.75" customHeight="1" s="49">
      <c r="B539" s="33" t="n"/>
      <c r="C539" s="34" t="n"/>
    </row>
    <row r="540" ht="15.75" customHeight="1" s="49">
      <c r="B540" s="33" t="n"/>
      <c r="C540" s="34" t="n"/>
    </row>
    <row r="541" ht="15.75" customHeight="1" s="49">
      <c r="B541" s="33" t="n"/>
      <c r="C541" s="34" t="n"/>
    </row>
    <row r="542" ht="15.75" customHeight="1" s="49">
      <c r="B542" s="33" t="n"/>
      <c r="C542" s="34" t="n"/>
    </row>
    <row r="543" ht="15.75" customHeight="1" s="49">
      <c r="B543" s="33" t="n"/>
      <c r="C543" s="34" t="n"/>
    </row>
    <row r="544" ht="15.75" customHeight="1" s="49">
      <c r="B544" s="33" t="n"/>
      <c r="C544" s="34" t="n"/>
    </row>
    <row r="545" ht="15.75" customHeight="1" s="49">
      <c r="B545" s="33" t="n"/>
      <c r="C545" s="34" t="n"/>
    </row>
    <row r="546" ht="15.75" customHeight="1" s="49">
      <c r="B546" s="33" t="n"/>
      <c r="C546" s="34" t="n"/>
    </row>
    <row r="547" ht="15.75" customHeight="1" s="49">
      <c r="B547" s="33" t="n"/>
      <c r="C547" s="34" t="n"/>
    </row>
    <row r="548" ht="15.75" customHeight="1" s="49">
      <c r="B548" s="33" t="n"/>
      <c r="C548" s="34" t="n"/>
    </row>
    <row r="549" ht="15.75" customHeight="1" s="49">
      <c r="B549" s="33" t="n"/>
      <c r="C549" s="34" t="n"/>
    </row>
    <row r="550" ht="15.75" customHeight="1" s="49">
      <c r="B550" s="33" t="n"/>
      <c r="C550" s="34" t="n"/>
    </row>
    <row r="551" ht="15.75" customHeight="1" s="49">
      <c r="B551" s="33" t="n"/>
      <c r="C551" s="34" t="n"/>
    </row>
    <row r="552" ht="15.75" customHeight="1" s="49">
      <c r="B552" s="33" t="n"/>
      <c r="C552" s="34" t="n"/>
    </row>
    <row r="553" ht="15.75" customHeight="1" s="49">
      <c r="B553" s="33" t="n"/>
      <c r="C553" s="34" t="n"/>
    </row>
    <row r="554" ht="15.75" customHeight="1" s="49">
      <c r="B554" s="33" t="n"/>
      <c r="C554" s="34" t="n"/>
    </row>
    <row r="555" ht="15.75" customHeight="1" s="49">
      <c r="B555" s="33" t="n"/>
      <c r="C555" s="34" t="n"/>
    </row>
    <row r="556" ht="15.75" customHeight="1" s="49">
      <c r="B556" s="33" t="n"/>
      <c r="C556" s="34" t="n"/>
    </row>
    <row r="557" ht="15.75" customHeight="1" s="49">
      <c r="B557" s="33" t="n"/>
      <c r="C557" s="34" t="n"/>
    </row>
    <row r="558" ht="15.75" customHeight="1" s="49">
      <c r="B558" s="33" t="n"/>
      <c r="C558" s="34" t="n"/>
    </row>
    <row r="559" ht="15.75" customHeight="1" s="49">
      <c r="B559" s="33" t="n"/>
      <c r="C559" s="34" t="n"/>
    </row>
    <row r="560" ht="15.75" customHeight="1" s="49">
      <c r="B560" s="33" t="n"/>
      <c r="C560" s="34" t="n"/>
    </row>
    <row r="561" ht="15.75" customHeight="1" s="49">
      <c r="B561" s="33" t="n"/>
      <c r="C561" s="34" t="n"/>
    </row>
    <row r="562" ht="15.75" customHeight="1" s="49">
      <c r="B562" s="33" t="n"/>
      <c r="C562" s="34" t="n"/>
    </row>
    <row r="563" ht="15.75" customHeight="1" s="49">
      <c r="B563" s="33" t="n"/>
      <c r="C563" s="34" t="n"/>
    </row>
    <row r="564" ht="15.75" customHeight="1" s="49">
      <c r="B564" s="33" t="n"/>
      <c r="C564" s="34" t="n"/>
    </row>
    <row r="565" ht="15.75" customHeight="1" s="49">
      <c r="B565" s="33" t="n"/>
      <c r="C565" s="34" t="n"/>
    </row>
    <row r="566" ht="15.75" customHeight="1" s="49">
      <c r="B566" s="33" t="n"/>
      <c r="C566" s="34" t="n"/>
    </row>
    <row r="567" ht="15.75" customHeight="1" s="49">
      <c r="B567" s="33" t="n"/>
      <c r="C567" s="34" t="n"/>
    </row>
    <row r="568" ht="15.75" customHeight="1" s="49">
      <c r="B568" s="33" t="n"/>
      <c r="C568" s="34" t="n"/>
    </row>
    <row r="569" ht="15.75" customHeight="1" s="49">
      <c r="B569" s="33" t="n"/>
      <c r="C569" s="34" t="n"/>
    </row>
    <row r="570" ht="15.75" customHeight="1" s="49">
      <c r="B570" s="33" t="n"/>
      <c r="C570" s="34" t="n"/>
    </row>
    <row r="571" ht="15.75" customHeight="1" s="49">
      <c r="B571" s="33" t="n"/>
      <c r="C571" s="34" t="n"/>
    </row>
    <row r="572" ht="15.75" customHeight="1" s="49">
      <c r="B572" s="33" t="n"/>
      <c r="C572" s="34" t="n"/>
    </row>
    <row r="573" ht="15.75" customHeight="1" s="49">
      <c r="B573" s="33" t="n"/>
      <c r="C573" s="34" t="n"/>
    </row>
    <row r="574" ht="15.75" customHeight="1" s="49">
      <c r="B574" s="33" t="n"/>
      <c r="C574" s="34" t="n"/>
    </row>
    <row r="575" ht="15.75" customHeight="1" s="49">
      <c r="B575" s="33" t="n"/>
      <c r="C575" s="34" t="n"/>
    </row>
    <row r="576" ht="15.75" customHeight="1" s="49">
      <c r="B576" s="33" t="n"/>
      <c r="C576" s="34" t="n"/>
    </row>
    <row r="577" ht="15.75" customHeight="1" s="49">
      <c r="B577" s="33" t="n"/>
      <c r="C577" s="34" t="n"/>
    </row>
    <row r="578" ht="15.75" customHeight="1" s="49">
      <c r="B578" s="33" t="n"/>
      <c r="C578" s="34" t="n"/>
    </row>
    <row r="579" ht="15.75" customHeight="1" s="49">
      <c r="B579" s="33" t="n"/>
      <c r="C579" s="34" t="n"/>
    </row>
    <row r="580" ht="15.75" customHeight="1" s="49">
      <c r="B580" s="33" t="n"/>
      <c r="C580" s="34" t="n"/>
    </row>
    <row r="581" ht="15.75" customHeight="1" s="49">
      <c r="B581" s="33" t="n"/>
      <c r="C581" s="34" t="n"/>
    </row>
    <row r="582" ht="15.75" customHeight="1" s="49">
      <c r="B582" s="33" t="n"/>
      <c r="C582" s="34" t="n"/>
    </row>
    <row r="583" ht="15.75" customHeight="1" s="49">
      <c r="B583" s="33" t="n"/>
      <c r="C583" s="34" t="n"/>
    </row>
    <row r="584" ht="15.75" customHeight="1" s="49">
      <c r="B584" s="33" t="n"/>
      <c r="C584" s="34" t="n"/>
    </row>
    <row r="585" ht="15.75" customHeight="1" s="49">
      <c r="B585" s="33" t="n"/>
      <c r="C585" s="34" t="n"/>
    </row>
    <row r="586" ht="15.75" customHeight="1" s="49">
      <c r="B586" s="33" t="n"/>
      <c r="C586" s="34" t="n"/>
    </row>
    <row r="587" ht="15.75" customHeight="1" s="49">
      <c r="B587" s="33" t="n"/>
      <c r="C587" s="34" t="n"/>
    </row>
    <row r="588" ht="15.75" customHeight="1" s="49">
      <c r="B588" s="33" t="n"/>
      <c r="C588" s="34" t="n"/>
    </row>
    <row r="589" ht="15.75" customHeight="1" s="49">
      <c r="B589" s="33" t="n"/>
      <c r="C589" s="34" t="n"/>
    </row>
    <row r="590" ht="15.75" customHeight="1" s="49">
      <c r="B590" s="33" t="n"/>
      <c r="C590" s="34" t="n"/>
    </row>
    <row r="591" ht="15.75" customHeight="1" s="49">
      <c r="B591" s="33" t="n"/>
      <c r="C591" s="34" t="n"/>
    </row>
    <row r="592" ht="15.75" customHeight="1" s="49">
      <c r="B592" s="33" t="n"/>
      <c r="C592" s="34" t="n"/>
    </row>
    <row r="593" ht="15.75" customHeight="1" s="49">
      <c r="B593" s="33" t="n"/>
      <c r="C593" s="34" t="n"/>
    </row>
    <row r="594" ht="15.75" customHeight="1" s="49">
      <c r="B594" s="33" t="n"/>
      <c r="C594" s="34" t="n"/>
    </row>
    <row r="595" ht="15.75" customHeight="1" s="49">
      <c r="B595" s="33" t="n"/>
      <c r="C595" s="34" t="n"/>
    </row>
    <row r="596" ht="15.75" customHeight="1" s="49">
      <c r="B596" s="33" t="n"/>
      <c r="C596" s="34" t="n"/>
    </row>
    <row r="597" ht="15.75" customHeight="1" s="49">
      <c r="B597" s="33" t="n"/>
      <c r="C597" s="34" t="n"/>
    </row>
    <row r="598" ht="15.75" customHeight="1" s="49">
      <c r="B598" s="33" t="n"/>
      <c r="C598" s="34" t="n"/>
    </row>
    <row r="599" ht="15.75" customHeight="1" s="49">
      <c r="B599" s="33" t="n"/>
      <c r="C599" s="34" t="n"/>
    </row>
    <row r="600" ht="15.75" customHeight="1" s="49">
      <c r="B600" s="33" t="n"/>
      <c r="C600" s="34" t="n"/>
    </row>
    <row r="601" ht="15.75" customHeight="1" s="49">
      <c r="B601" s="33" t="n"/>
      <c r="C601" s="34" t="n"/>
    </row>
    <row r="602" ht="15.75" customHeight="1" s="49">
      <c r="B602" s="33" t="n"/>
      <c r="C602" s="34" t="n"/>
    </row>
    <row r="603" ht="15.75" customHeight="1" s="49">
      <c r="B603" s="33" t="n"/>
      <c r="C603" s="34" t="n"/>
    </row>
    <row r="604" ht="15.75" customHeight="1" s="49">
      <c r="B604" s="33" t="n"/>
      <c r="C604" s="34" t="n"/>
    </row>
    <row r="605" ht="15.75" customHeight="1" s="49">
      <c r="B605" s="33" t="n"/>
      <c r="C605" s="34" t="n"/>
    </row>
    <row r="606" ht="15.75" customHeight="1" s="49">
      <c r="B606" s="33" t="n"/>
      <c r="C606" s="34" t="n"/>
    </row>
    <row r="607" ht="15.75" customHeight="1" s="49">
      <c r="B607" s="33" t="n"/>
      <c r="C607" s="34" t="n"/>
    </row>
    <row r="608" ht="15.75" customHeight="1" s="49">
      <c r="B608" s="33" t="n"/>
      <c r="C608" s="34" t="n"/>
    </row>
    <row r="609" ht="15.75" customHeight="1" s="49">
      <c r="B609" s="33" t="n"/>
      <c r="C609" s="34" t="n"/>
    </row>
    <row r="610" ht="15.75" customHeight="1" s="49">
      <c r="B610" s="33" t="n"/>
      <c r="C610" s="34" t="n"/>
    </row>
    <row r="611" ht="15.75" customHeight="1" s="49">
      <c r="B611" s="33" t="n"/>
      <c r="C611" s="34" t="n"/>
    </row>
    <row r="612" ht="15.75" customHeight="1" s="49">
      <c r="B612" s="33" t="n"/>
      <c r="C612" s="34" t="n"/>
    </row>
    <row r="613" ht="15.75" customHeight="1" s="49">
      <c r="B613" s="33" t="n"/>
      <c r="C613" s="34" t="n"/>
    </row>
    <row r="614" ht="15.75" customHeight="1" s="49">
      <c r="B614" s="33" t="n"/>
      <c r="C614" s="34" t="n"/>
    </row>
    <row r="615" ht="15.75" customHeight="1" s="49">
      <c r="B615" s="33" t="n"/>
      <c r="C615" s="34" t="n"/>
    </row>
    <row r="616" ht="15.75" customHeight="1" s="49">
      <c r="B616" s="33" t="n"/>
      <c r="C616" s="34" t="n"/>
    </row>
    <row r="617" ht="15.75" customHeight="1" s="49">
      <c r="B617" s="33" t="n"/>
      <c r="C617" s="34" t="n"/>
    </row>
    <row r="618" ht="15.75" customHeight="1" s="49">
      <c r="B618" s="33" t="n"/>
      <c r="C618" s="34" t="n"/>
    </row>
    <row r="619" ht="15.75" customHeight="1" s="49">
      <c r="B619" s="33" t="n"/>
      <c r="C619" s="34" t="n"/>
    </row>
    <row r="620" ht="15.75" customHeight="1" s="49">
      <c r="B620" s="33" t="n"/>
      <c r="C620" s="34" t="n"/>
    </row>
    <row r="621" ht="15.75" customHeight="1" s="49">
      <c r="B621" s="33" t="n"/>
      <c r="C621" s="34" t="n"/>
    </row>
    <row r="622" ht="15.75" customHeight="1" s="49">
      <c r="B622" s="33" t="n"/>
      <c r="C622" s="34" t="n"/>
    </row>
    <row r="623" ht="15.75" customHeight="1" s="49">
      <c r="B623" s="33" t="n"/>
      <c r="C623" s="34" t="n"/>
    </row>
    <row r="624" ht="15.75" customHeight="1" s="49">
      <c r="B624" s="33" t="n"/>
      <c r="C624" s="34" t="n"/>
    </row>
    <row r="625" ht="15.75" customHeight="1" s="49">
      <c r="B625" s="33" t="n"/>
      <c r="C625" s="34" t="n"/>
    </row>
    <row r="626" ht="15.75" customHeight="1" s="49">
      <c r="B626" s="33" t="n"/>
      <c r="C626" s="34" t="n"/>
    </row>
    <row r="627" ht="15.75" customHeight="1" s="49">
      <c r="B627" s="33" t="n"/>
      <c r="C627" s="34" t="n"/>
    </row>
    <row r="628" ht="15.75" customHeight="1" s="49">
      <c r="B628" s="33" t="n"/>
      <c r="C628" s="34" t="n"/>
    </row>
    <row r="629" ht="15.75" customHeight="1" s="49">
      <c r="B629" s="33" t="n"/>
      <c r="C629" s="34" t="n"/>
    </row>
    <row r="630" ht="15.75" customHeight="1" s="49">
      <c r="B630" s="33" t="n"/>
      <c r="C630" s="34" t="n"/>
    </row>
    <row r="631" ht="15.75" customHeight="1" s="49">
      <c r="B631" s="33" t="n"/>
      <c r="C631" s="34" t="n"/>
    </row>
    <row r="632" ht="15.75" customHeight="1" s="49">
      <c r="B632" s="33" t="n"/>
      <c r="C632" s="34" t="n"/>
    </row>
    <row r="633" ht="15.75" customHeight="1" s="49">
      <c r="B633" s="33" t="n"/>
      <c r="C633" s="34" t="n"/>
    </row>
    <row r="634" ht="15.75" customHeight="1" s="49">
      <c r="B634" s="33" t="n"/>
      <c r="C634" s="34" t="n"/>
    </row>
    <row r="635" ht="15.75" customHeight="1" s="49">
      <c r="B635" s="33" t="n"/>
      <c r="C635" s="34" t="n"/>
    </row>
    <row r="636" ht="15.75" customHeight="1" s="49">
      <c r="B636" s="33" t="n"/>
      <c r="C636" s="34" t="n"/>
    </row>
    <row r="637" ht="15.75" customHeight="1" s="49">
      <c r="B637" s="33" t="n"/>
      <c r="C637" s="34" t="n"/>
    </row>
    <row r="638" ht="15.75" customHeight="1" s="49">
      <c r="B638" s="33" t="n"/>
      <c r="C638" s="34" t="n"/>
    </row>
    <row r="639" ht="15.75" customHeight="1" s="49">
      <c r="B639" s="33" t="n"/>
      <c r="C639" s="34" t="n"/>
    </row>
    <row r="640" ht="15.75" customHeight="1" s="49">
      <c r="B640" s="33" t="n"/>
      <c r="C640" s="34" t="n"/>
    </row>
    <row r="641" ht="15.75" customHeight="1" s="49">
      <c r="B641" s="33" t="n"/>
      <c r="C641" s="34" t="n"/>
    </row>
    <row r="642" ht="15.75" customHeight="1" s="49">
      <c r="B642" s="33" t="n"/>
      <c r="C642" s="34" t="n"/>
    </row>
    <row r="643" ht="15.75" customHeight="1" s="49">
      <c r="B643" s="33" t="n"/>
      <c r="C643" s="34" t="n"/>
    </row>
    <row r="644" ht="15.75" customHeight="1" s="49">
      <c r="B644" s="33" t="n"/>
      <c r="C644" s="34" t="n"/>
    </row>
    <row r="645" ht="15.75" customHeight="1" s="49">
      <c r="B645" s="33" t="n"/>
      <c r="C645" s="34" t="n"/>
    </row>
    <row r="646" ht="15.75" customHeight="1" s="49">
      <c r="B646" s="33" t="n"/>
      <c r="C646" s="34" t="n"/>
    </row>
    <row r="647" ht="15.75" customHeight="1" s="49">
      <c r="B647" s="33" t="n"/>
      <c r="C647" s="34" t="n"/>
    </row>
    <row r="648" ht="15.75" customHeight="1" s="49">
      <c r="B648" s="33" t="n"/>
      <c r="C648" s="34" t="n"/>
    </row>
    <row r="649" ht="15.75" customHeight="1" s="49">
      <c r="B649" s="33" t="n"/>
      <c r="C649" s="34" t="n"/>
    </row>
    <row r="650" ht="15.75" customHeight="1" s="49">
      <c r="B650" s="33" t="n"/>
      <c r="C650" s="34" t="n"/>
    </row>
    <row r="651" ht="15.75" customHeight="1" s="49">
      <c r="B651" s="33" t="n"/>
      <c r="C651" s="34" t="n"/>
    </row>
    <row r="652" ht="15.75" customHeight="1" s="49">
      <c r="B652" s="33" t="n"/>
      <c r="C652" s="34" t="n"/>
    </row>
    <row r="653" ht="15.75" customHeight="1" s="49">
      <c r="B653" s="33" t="n"/>
      <c r="C653" s="34" t="n"/>
    </row>
    <row r="654" ht="15.75" customHeight="1" s="49">
      <c r="B654" s="33" t="n"/>
      <c r="C654" s="34" t="n"/>
    </row>
    <row r="655" ht="15.75" customHeight="1" s="49">
      <c r="B655" s="33" t="n"/>
      <c r="C655" s="34" t="n"/>
    </row>
    <row r="656" ht="15.75" customHeight="1" s="49">
      <c r="B656" s="33" t="n"/>
      <c r="C656" s="34" t="n"/>
    </row>
    <row r="657" ht="15.75" customHeight="1" s="49">
      <c r="B657" s="33" t="n"/>
      <c r="C657" s="34" t="n"/>
    </row>
    <row r="658" ht="15.75" customHeight="1" s="49">
      <c r="B658" s="33" t="n"/>
      <c r="C658" s="34" t="n"/>
    </row>
    <row r="659" ht="15.75" customHeight="1" s="49">
      <c r="B659" s="33" t="n"/>
      <c r="C659" s="34" t="n"/>
    </row>
    <row r="660" ht="15.75" customHeight="1" s="49">
      <c r="B660" s="33" t="n"/>
      <c r="C660" s="34" t="n"/>
    </row>
    <row r="661" ht="15.75" customHeight="1" s="49">
      <c r="B661" s="33" t="n"/>
      <c r="C661" s="34" t="n"/>
    </row>
    <row r="662" ht="15.75" customHeight="1" s="49">
      <c r="B662" s="33" t="n"/>
      <c r="C662" s="34" t="n"/>
    </row>
    <row r="663" ht="15.75" customHeight="1" s="49">
      <c r="B663" s="33" t="n"/>
      <c r="C663" s="34" t="n"/>
    </row>
    <row r="664" ht="15.75" customHeight="1" s="49">
      <c r="B664" s="33" t="n"/>
      <c r="C664" s="34" t="n"/>
    </row>
    <row r="665" ht="15.75" customHeight="1" s="49">
      <c r="B665" s="33" t="n"/>
      <c r="C665" s="34" t="n"/>
    </row>
    <row r="666" ht="15.75" customHeight="1" s="49">
      <c r="B666" s="33" t="n"/>
      <c r="C666" s="34" t="n"/>
    </row>
    <row r="667" ht="15.75" customHeight="1" s="49">
      <c r="B667" s="33" t="n"/>
      <c r="C667" s="34" t="n"/>
    </row>
    <row r="668" ht="15.75" customHeight="1" s="49">
      <c r="B668" s="33" t="n"/>
      <c r="C668" s="34" t="n"/>
    </row>
    <row r="669" ht="15.75" customHeight="1" s="49">
      <c r="B669" s="33" t="n"/>
      <c r="C669" s="34" t="n"/>
    </row>
    <row r="670" ht="15.75" customHeight="1" s="49">
      <c r="B670" s="33" t="n"/>
      <c r="C670" s="34" t="n"/>
    </row>
    <row r="671" ht="15.75" customHeight="1" s="49">
      <c r="B671" s="33" t="n"/>
      <c r="C671" s="34" t="n"/>
    </row>
    <row r="672" ht="15.75" customHeight="1" s="49">
      <c r="B672" s="33" t="n"/>
      <c r="C672" s="34" t="n"/>
    </row>
    <row r="673" ht="15.75" customHeight="1" s="49">
      <c r="B673" s="33" t="n"/>
      <c r="C673" s="34" t="n"/>
    </row>
    <row r="674" ht="15.75" customHeight="1" s="49">
      <c r="B674" s="33" t="n"/>
      <c r="C674" s="34" t="n"/>
    </row>
    <row r="675" ht="15.75" customHeight="1" s="49">
      <c r="B675" s="33" t="n"/>
      <c r="C675" s="34" t="n"/>
    </row>
    <row r="676" ht="15.75" customHeight="1" s="49">
      <c r="B676" s="33" t="n"/>
      <c r="C676" s="34" t="n"/>
    </row>
    <row r="677" ht="15.75" customHeight="1" s="49">
      <c r="B677" s="33" t="n"/>
      <c r="C677" s="34" t="n"/>
    </row>
    <row r="678" ht="15.75" customHeight="1" s="49">
      <c r="B678" s="33" t="n"/>
      <c r="C678" s="34" t="n"/>
    </row>
    <row r="679" ht="15.75" customHeight="1" s="49">
      <c r="B679" s="33" t="n"/>
      <c r="C679" s="34" t="n"/>
    </row>
    <row r="680" ht="15.75" customHeight="1" s="49">
      <c r="B680" s="33" t="n"/>
      <c r="C680" s="34" t="n"/>
    </row>
    <row r="681" ht="15.75" customHeight="1" s="49">
      <c r="B681" s="33" t="n"/>
      <c r="C681" s="34" t="n"/>
    </row>
    <row r="682" ht="15.75" customHeight="1" s="49">
      <c r="B682" s="33" t="n"/>
      <c r="C682" s="34" t="n"/>
    </row>
    <row r="683" ht="15.75" customHeight="1" s="49">
      <c r="B683" s="33" t="n"/>
      <c r="C683" s="34" t="n"/>
    </row>
    <row r="684" ht="15.75" customHeight="1" s="49">
      <c r="B684" s="33" t="n"/>
      <c r="C684" s="34" t="n"/>
    </row>
    <row r="685" ht="15.75" customHeight="1" s="49">
      <c r="B685" s="33" t="n"/>
      <c r="C685" s="34" t="n"/>
    </row>
    <row r="686" ht="15.75" customHeight="1" s="49">
      <c r="B686" s="33" t="n"/>
      <c r="C686" s="34" t="n"/>
    </row>
    <row r="687" ht="15.75" customHeight="1" s="49">
      <c r="B687" s="33" t="n"/>
      <c r="C687" s="34" t="n"/>
    </row>
    <row r="688" ht="15.75" customHeight="1" s="49">
      <c r="B688" s="33" t="n"/>
      <c r="C688" s="34" t="n"/>
    </row>
    <row r="689" ht="15.75" customHeight="1" s="49">
      <c r="B689" s="33" t="n"/>
      <c r="C689" s="34" t="n"/>
    </row>
    <row r="690" ht="15.75" customHeight="1" s="49">
      <c r="B690" s="33" t="n"/>
      <c r="C690" s="34" t="n"/>
    </row>
    <row r="691" ht="15.75" customHeight="1" s="49">
      <c r="B691" s="33" t="n"/>
      <c r="C691" s="34" t="n"/>
    </row>
    <row r="692" ht="15.75" customHeight="1" s="49">
      <c r="B692" s="33" t="n"/>
      <c r="C692" s="34" t="n"/>
    </row>
    <row r="693" ht="15.75" customHeight="1" s="49">
      <c r="B693" s="33" t="n"/>
      <c r="C693" s="34" t="n"/>
    </row>
    <row r="694" ht="15.75" customHeight="1" s="49">
      <c r="B694" s="33" t="n"/>
      <c r="C694" s="34" t="n"/>
    </row>
    <row r="695" ht="15.75" customHeight="1" s="49">
      <c r="B695" s="33" t="n"/>
      <c r="C695" s="34" t="n"/>
    </row>
    <row r="696" ht="15.75" customHeight="1" s="49">
      <c r="B696" s="33" t="n"/>
      <c r="C696" s="34" t="n"/>
    </row>
    <row r="697" ht="15.75" customHeight="1" s="49">
      <c r="B697" s="33" t="n"/>
      <c r="C697" s="34" t="n"/>
    </row>
    <row r="698" ht="15.75" customHeight="1" s="49">
      <c r="B698" s="33" t="n"/>
      <c r="C698" s="34" t="n"/>
    </row>
    <row r="699" ht="15.75" customHeight="1" s="49">
      <c r="B699" s="33" t="n"/>
      <c r="C699" s="34" t="n"/>
    </row>
    <row r="700" ht="15.75" customHeight="1" s="49">
      <c r="B700" s="33" t="n"/>
      <c r="C700" s="34" t="n"/>
    </row>
    <row r="701" ht="15.75" customHeight="1" s="49">
      <c r="B701" s="33" t="n"/>
      <c r="C701" s="34" t="n"/>
    </row>
    <row r="702" ht="15.75" customHeight="1" s="49">
      <c r="B702" s="33" t="n"/>
      <c r="C702" s="34" t="n"/>
    </row>
    <row r="703" ht="15.75" customHeight="1" s="49">
      <c r="B703" s="33" t="n"/>
      <c r="C703" s="34" t="n"/>
    </row>
    <row r="704" ht="15.75" customHeight="1" s="49">
      <c r="B704" s="33" t="n"/>
      <c r="C704" s="34" t="n"/>
    </row>
    <row r="705" ht="15.75" customHeight="1" s="49">
      <c r="B705" s="33" t="n"/>
      <c r="C705" s="34" t="n"/>
    </row>
    <row r="706" ht="15.75" customHeight="1" s="49">
      <c r="B706" s="33" t="n"/>
      <c r="C706" s="34" t="n"/>
    </row>
    <row r="707" ht="15.75" customHeight="1" s="49">
      <c r="B707" s="33" t="n"/>
      <c r="C707" s="34" t="n"/>
    </row>
    <row r="708" ht="15.75" customHeight="1" s="49">
      <c r="B708" s="33" t="n"/>
      <c r="C708" s="34" t="n"/>
    </row>
    <row r="709" ht="15.75" customHeight="1" s="49">
      <c r="B709" s="33" t="n"/>
      <c r="C709" s="34" t="n"/>
    </row>
    <row r="710" ht="15.75" customHeight="1" s="49">
      <c r="B710" s="33" t="n"/>
      <c r="C710" s="34" t="n"/>
    </row>
    <row r="711" ht="15.75" customHeight="1" s="49">
      <c r="B711" s="33" t="n"/>
      <c r="C711" s="34" t="n"/>
    </row>
    <row r="712" ht="15.75" customHeight="1" s="49">
      <c r="B712" s="33" t="n"/>
      <c r="C712" s="34" t="n"/>
    </row>
    <row r="713" ht="15.75" customHeight="1" s="49">
      <c r="B713" s="33" t="n"/>
      <c r="C713" s="34" t="n"/>
    </row>
    <row r="714" ht="15.75" customHeight="1" s="49">
      <c r="B714" s="33" t="n"/>
      <c r="C714" s="34" t="n"/>
    </row>
    <row r="715" ht="15.75" customHeight="1" s="49">
      <c r="B715" s="33" t="n"/>
      <c r="C715" s="34" t="n"/>
    </row>
    <row r="716" ht="15.75" customHeight="1" s="49">
      <c r="B716" s="33" t="n"/>
      <c r="C716" s="34" t="n"/>
    </row>
    <row r="717" ht="15.75" customHeight="1" s="49">
      <c r="B717" s="33" t="n"/>
      <c r="C717" s="34" t="n"/>
    </row>
    <row r="718" ht="15.75" customHeight="1" s="49">
      <c r="B718" s="33" t="n"/>
      <c r="C718" s="34" t="n"/>
    </row>
    <row r="719" ht="15.75" customHeight="1" s="49">
      <c r="B719" s="33" t="n"/>
      <c r="C719" s="34" t="n"/>
    </row>
    <row r="720" ht="15.75" customHeight="1" s="49">
      <c r="B720" s="33" t="n"/>
      <c r="C720" s="34" t="n"/>
    </row>
    <row r="721" ht="15.75" customHeight="1" s="49">
      <c r="B721" s="33" t="n"/>
      <c r="C721" s="34" t="n"/>
    </row>
    <row r="722" ht="15.75" customHeight="1" s="49">
      <c r="B722" s="33" t="n"/>
      <c r="C722" s="34" t="n"/>
    </row>
    <row r="723" ht="15.75" customHeight="1" s="49">
      <c r="B723" s="33" t="n"/>
      <c r="C723" s="34" t="n"/>
    </row>
    <row r="724" ht="15.75" customHeight="1" s="49">
      <c r="B724" s="33" t="n"/>
      <c r="C724" s="34" t="n"/>
    </row>
    <row r="725" ht="15.75" customHeight="1" s="49">
      <c r="B725" s="33" t="n"/>
      <c r="C725" s="34" t="n"/>
    </row>
    <row r="726" ht="15.75" customHeight="1" s="49">
      <c r="B726" s="33" t="n"/>
      <c r="C726" s="34" t="n"/>
    </row>
    <row r="727" ht="15.75" customHeight="1" s="49">
      <c r="B727" s="33" t="n"/>
      <c r="C727" s="34" t="n"/>
    </row>
    <row r="728" ht="15.75" customHeight="1" s="49">
      <c r="B728" s="33" t="n"/>
      <c r="C728" s="34" t="n"/>
    </row>
    <row r="729" ht="15.75" customHeight="1" s="49">
      <c r="B729" s="33" t="n"/>
      <c r="C729" s="34" t="n"/>
    </row>
    <row r="730" ht="15.75" customHeight="1" s="49">
      <c r="B730" s="33" t="n"/>
      <c r="C730" s="34" t="n"/>
    </row>
    <row r="731" ht="15.75" customHeight="1" s="49">
      <c r="B731" s="33" t="n"/>
      <c r="C731" s="34" t="n"/>
    </row>
    <row r="732" ht="15.75" customHeight="1" s="49">
      <c r="B732" s="33" t="n"/>
      <c r="C732" s="34" t="n"/>
    </row>
    <row r="733" ht="15.75" customHeight="1" s="49">
      <c r="B733" s="33" t="n"/>
      <c r="C733" s="34" t="n"/>
    </row>
    <row r="734" ht="15.75" customHeight="1" s="49">
      <c r="B734" s="33" t="n"/>
      <c r="C734" s="34" t="n"/>
    </row>
    <row r="735" ht="15.75" customHeight="1" s="49">
      <c r="B735" s="33" t="n"/>
      <c r="C735" s="34" t="n"/>
    </row>
    <row r="736" ht="15.75" customHeight="1" s="49">
      <c r="B736" s="33" t="n"/>
      <c r="C736" s="34" t="n"/>
    </row>
    <row r="737" ht="15.75" customHeight="1" s="49">
      <c r="B737" s="33" t="n"/>
      <c r="C737" s="34" t="n"/>
    </row>
    <row r="738" ht="15.75" customHeight="1" s="49">
      <c r="B738" s="33" t="n"/>
      <c r="C738" s="34" t="n"/>
    </row>
    <row r="739" ht="15.75" customHeight="1" s="49">
      <c r="B739" s="33" t="n"/>
      <c r="C739" s="34" t="n"/>
    </row>
    <row r="740" ht="15.75" customHeight="1" s="49">
      <c r="B740" s="33" t="n"/>
      <c r="C740" s="34" t="n"/>
    </row>
    <row r="741" ht="15.75" customHeight="1" s="49">
      <c r="B741" s="33" t="n"/>
      <c r="C741" s="34" t="n"/>
    </row>
    <row r="742" ht="15.75" customHeight="1" s="49">
      <c r="B742" s="33" t="n"/>
      <c r="C742" s="34" t="n"/>
    </row>
    <row r="743" ht="15.75" customHeight="1" s="49">
      <c r="B743" s="33" t="n"/>
      <c r="C743" s="34" t="n"/>
    </row>
    <row r="744" ht="15.75" customHeight="1" s="49">
      <c r="B744" s="33" t="n"/>
      <c r="C744" s="34" t="n"/>
    </row>
    <row r="745" ht="15.75" customHeight="1" s="49">
      <c r="B745" s="33" t="n"/>
      <c r="C745" s="34" t="n"/>
    </row>
    <row r="746" ht="15.75" customHeight="1" s="49">
      <c r="B746" s="33" t="n"/>
      <c r="C746" s="34" t="n"/>
    </row>
    <row r="747" ht="15.75" customHeight="1" s="49">
      <c r="B747" s="33" t="n"/>
      <c r="C747" s="34" t="n"/>
    </row>
    <row r="748" ht="15.75" customHeight="1" s="49">
      <c r="B748" s="33" t="n"/>
      <c r="C748" s="34" t="n"/>
    </row>
    <row r="749" ht="15.75" customHeight="1" s="49">
      <c r="B749" s="33" t="n"/>
      <c r="C749" s="34" t="n"/>
    </row>
    <row r="750" ht="15.75" customHeight="1" s="49">
      <c r="B750" s="33" t="n"/>
      <c r="C750" s="34" t="n"/>
    </row>
    <row r="751" ht="15.75" customHeight="1" s="49">
      <c r="B751" s="33" t="n"/>
      <c r="C751" s="34" t="n"/>
    </row>
    <row r="752" ht="15.75" customHeight="1" s="49">
      <c r="B752" s="33" t="n"/>
      <c r="C752" s="34" t="n"/>
    </row>
    <row r="753" ht="15.75" customHeight="1" s="49">
      <c r="B753" s="33" t="n"/>
      <c r="C753" s="34" t="n"/>
    </row>
    <row r="754" ht="15.75" customHeight="1" s="49">
      <c r="B754" s="33" t="n"/>
      <c r="C754" s="34" t="n"/>
    </row>
    <row r="755" ht="15.75" customHeight="1" s="49">
      <c r="B755" s="33" t="n"/>
      <c r="C755" s="34" t="n"/>
    </row>
    <row r="756" ht="15.75" customHeight="1" s="49">
      <c r="B756" s="33" t="n"/>
      <c r="C756" s="34" t="n"/>
    </row>
    <row r="757" ht="15.75" customHeight="1" s="49">
      <c r="B757" s="33" t="n"/>
      <c r="C757" s="34" t="n"/>
    </row>
    <row r="758" ht="15.75" customHeight="1" s="49">
      <c r="B758" s="33" t="n"/>
      <c r="C758" s="34" t="n"/>
    </row>
    <row r="759" ht="15.75" customHeight="1" s="49">
      <c r="B759" s="33" t="n"/>
      <c r="C759" s="34" t="n"/>
    </row>
    <row r="760" ht="15.75" customHeight="1" s="49">
      <c r="B760" s="33" t="n"/>
      <c r="C760" s="34" t="n"/>
    </row>
    <row r="761" ht="15.75" customHeight="1" s="49">
      <c r="B761" s="33" t="n"/>
      <c r="C761" s="34" t="n"/>
    </row>
    <row r="762" ht="15.75" customHeight="1" s="49">
      <c r="B762" s="33" t="n"/>
      <c r="C762" s="34" t="n"/>
    </row>
    <row r="763" ht="15.75" customHeight="1" s="49">
      <c r="B763" s="33" t="n"/>
      <c r="C763" s="34" t="n"/>
    </row>
    <row r="764" ht="15.75" customHeight="1" s="49">
      <c r="B764" s="33" t="n"/>
      <c r="C764" s="34" t="n"/>
    </row>
    <row r="765" ht="15.75" customHeight="1" s="49">
      <c r="B765" s="33" t="n"/>
      <c r="C765" s="34" t="n"/>
    </row>
    <row r="766" ht="15.75" customHeight="1" s="49">
      <c r="B766" s="33" t="n"/>
      <c r="C766" s="34" t="n"/>
    </row>
    <row r="767" ht="15.75" customHeight="1" s="49">
      <c r="B767" s="33" t="n"/>
      <c r="C767" s="34" t="n"/>
    </row>
    <row r="768" ht="15.75" customHeight="1" s="49">
      <c r="B768" s="33" t="n"/>
      <c r="C768" s="34" t="n"/>
    </row>
    <row r="769" ht="15.75" customHeight="1" s="49">
      <c r="B769" s="33" t="n"/>
      <c r="C769" s="34" t="n"/>
    </row>
    <row r="770" ht="15.75" customHeight="1" s="49">
      <c r="B770" s="33" t="n"/>
      <c r="C770" s="34" t="n"/>
    </row>
    <row r="771" ht="15.75" customHeight="1" s="49">
      <c r="B771" s="33" t="n"/>
      <c r="C771" s="34" t="n"/>
    </row>
    <row r="772" ht="15.75" customHeight="1" s="49">
      <c r="B772" s="33" t="n"/>
      <c r="C772" s="34" t="n"/>
    </row>
    <row r="773" ht="15.75" customHeight="1" s="49">
      <c r="B773" s="33" t="n"/>
      <c r="C773" s="34" t="n"/>
    </row>
    <row r="774" ht="15.75" customHeight="1" s="49">
      <c r="B774" s="33" t="n"/>
      <c r="C774" s="34" t="n"/>
    </row>
    <row r="775" ht="15.75" customHeight="1" s="49">
      <c r="B775" s="33" t="n"/>
      <c r="C775" s="34" t="n"/>
    </row>
    <row r="776" ht="15.75" customHeight="1" s="49">
      <c r="B776" s="33" t="n"/>
      <c r="C776" s="34" t="n"/>
    </row>
    <row r="777" ht="15.75" customHeight="1" s="49">
      <c r="B777" s="33" t="n"/>
      <c r="C777" s="34" t="n"/>
    </row>
    <row r="778" ht="15.75" customHeight="1" s="49">
      <c r="B778" s="33" t="n"/>
      <c r="C778" s="34" t="n"/>
    </row>
    <row r="779" ht="15.75" customHeight="1" s="49">
      <c r="B779" s="33" t="n"/>
      <c r="C779" s="34" t="n"/>
    </row>
    <row r="780" ht="15.75" customHeight="1" s="49">
      <c r="B780" s="33" t="n"/>
      <c r="C780" s="34" t="n"/>
    </row>
    <row r="781" ht="15.75" customHeight="1" s="49">
      <c r="B781" s="33" t="n"/>
      <c r="C781" s="34" t="n"/>
    </row>
    <row r="782" ht="15.75" customHeight="1" s="49">
      <c r="B782" s="33" t="n"/>
      <c r="C782" s="34" t="n"/>
    </row>
    <row r="783" ht="15.75" customHeight="1" s="49">
      <c r="B783" s="33" t="n"/>
      <c r="C783" s="34" t="n"/>
    </row>
    <row r="784" ht="15.75" customHeight="1" s="49">
      <c r="B784" s="33" t="n"/>
      <c r="C784" s="34" t="n"/>
    </row>
    <row r="785" ht="15.75" customHeight="1" s="49">
      <c r="B785" s="33" t="n"/>
      <c r="C785" s="34" t="n"/>
    </row>
    <row r="786" ht="15.75" customHeight="1" s="49">
      <c r="B786" s="33" t="n"/>
      <c r="C786" s="34" t="n"/>
    </row>
    <row r="787" ht="15.75" customHeight="1" s="49">
      <c r="B787" s="33" t="n"/>
      <c r="C787" s="34" t="n"/>
    </row>
    <row r="788" ht="15.75" customHeight="1" s="49">
      <c r="B788" s="33" t="n"/>
      <c r="C788" s="34" t="n"/>
    </row>
    <row r="789" ht="15.75" customHeight="1" s="49">
      <c r="B789" s="33" t="n"/>
      <c r="C789" s="34" t="n"/>
    </row>
    <row r="790" ht="15.75" customHeight="1" s="49">
      <c r="B790" s="33" t="n"/>
      <c r="C790" s="34" t="n"/>
    </row>
    <row r="791" ht="15.75" customHeight="1" s="49">
      <c r="B791" s="33" t="n"/>
      <c r="C791" s="34" t="n"/>
    </row>
    <row r="792" ht="15.75" customHeight="1" s="49">
      <c r="B792" s="33" t="n"/>
      <c r="C792" s="34" t="n"/>
    </row>
    <row r="793" ht="15.75" customHeight="1" s="49">
      <c r="B793" s="33" t="n"/>
      <c r="C793" s="34" t="n"/>
    </row>
    <row r="794" ht="15.75" customHeight="1" s="49">
      <c r="B794" s="33" t="n"/>
      <c r="C794" s="34" t="n"/>
    </row>
    <row r="795" ht="15.75" customHeight="1" s="49">
      <c r="B795" s="33" t="n"/>
      <c r="C795" s="34" t="n"/>
    </row>
    <row r="796" ht="15.75" customHeight="1" s="49">
      <c r="B796" s="33" t="n"/>
      <c r="C796" s="34" t="n"/>
    </row>
    <row r="797" ht="15.75" customHeight="1" s="49">
      <c r="B797" s="33" t="n"/>
      <c r="C797" s="34" t="n"/>
    </row>
    <row r="798" ht="15.75" customHeight="1" s="49">
      <c r="B798" s="33" t="n"/>
      <c r="C798" s="34" t="n"/>
    </row>
    <row r="799" ht="15.75" customHeight="1" s="49">
      <c r="B799" s="33" t="n"/>
      <c r="C799" s="34" t="n"/>
    </row>
    <row r="800" ht="15.75" customHeight="1" s="49">
      <c r="B800" s="33" t="n"/>
      <c r="C800" s="34" t="n"/>
    </row>
    <row r="801" ht="15.75" customHeight="1" s="49">
      <c r="B801" s="33" t="n"/>
      <c r="C801" s="34" t="n"/>
    </row>
    <row r="802" ht="15.75" customHeight="1" s="49">
      <c r="B802" s="33" t="n"/>
      <c r="C802" s="34" t="n"/>
    </row>
    <row r="803" ht="15.75" customHeight="1" s="49">
      <c r="B803" s="33" t="n"/>
      <c r="C803" s="34" t="n"/>
    </row>
    <row r="804" ht="15.75" customHeight="1" s="49">
      <c r="B804" s="33" t="n"/>
      <c r="C804" s="34" t="n"/>
    </row>
    <row r="805" ht="15.75" customHeight="1" s="49">
      <c r="B805" s="33" t="n"/>
      <c r="C805" s="34" t="n"/>
    </row>
    <row r="806" ht="15.75" customHeight="1" s="49">
      <c r="B806" s="33" t="n"/>
      <c r="C806" s="34" t="n"/>
    </row>
    <row r="807" ht="15.75" customHeight="1" s="49">
      <c r="B807" s="33" t="n"/>
      <c r="C807" s="34" t="n"/>
    </row>
    <row r="808" ht="15.75" customHeight="1" s="49">
      <c r="B808" s="33" t="n"/>
      <c r="C808" s="34" t="n"/>
    </row>
    <row r="809" ht="15.75" customHeight="1" s="49">
      <c r="B809" s="33" t="n"/>
      <c r="C809" s="34" t="n"/>
    </row>
    <row r="810" ht="15.75" customHeight="1" s="49">
      <c r="B810" s="33" t="n"/>
      <c r="C810" s="34" t="n"/>
    </row>
    <row r="811" ht="15.75" customHeight="1" s="49">
      <c r="B811" s="33" t="n"/>
      <c r="C811" s="34" t="n"/>
    </row>
    <row r="812" ht="15.75" customHeight="1" s="49">
      <c r="B812" s="33" t="n"/>
      <c r="C812" s="34" t="n"/>
    </row>
    <row r="813" ht="15.75" customHeight="1" s="49">
      <c r="B813" s="33" t="n"/>
      <c r="C813" s="34" t="n"/>
    </row>
    <row r="814" ht="15.75" customHeight="1" s="49">
      <c r="B814" s="33" t="n"/>
      <c r="C814" s="34" t="n"/>
    </row>
    <row r="815" ht="15.75" customHeight="1" s="49">
      <c r="B815" s="33" t="n"/>
      <c r="C815" s="34" t="n"/>
    </row>
    <row r="816" ht="15.75" customHeight="1" s="49">
      <c r="B816" s="33" t="n"/>
      <c r="C816" s="34" t="n"/>
    </row>
    <row r="817" ht="15.75" customHeight="1" s="49">
      <c r="B817" s="33" t="n"/>
      <c r="C817" s="34" t="n"/>
    </row>
    <row r="818" ht="15.75" customHeight="1" s="49">
      <c r="B818" s="33" t="n"/>
      <c r="C818" s="34" t="n"/>
    </row>
    <row r="819" ht="15.75" customHeight="1" s="49">
      <c r="B819" s="33" t="n"/>
      <c r="C819" s="34" t="n"/>
    </row>
    <row r="820" ht="15.75" customHeight="1" s="49">
      <c r="B820" s="33" t="n"/>
      <c r="C820" s="34" t="n"/>
    </row>
    <row r="821" ht="15.75" customHeight="1" s="49">
      <c r="B821" s="33" t="n"/>
      <c r="C821" s="34" t="n"/>
    </row>
    <row r="822" ht="15.75" customHeight="1" s="49">
      <c r="B822" s="33" t="n"/>
      <c r="C822" s="34" t="n"/>
    </row>
    <row r="823" ht="15.75" customHeight="1" s="49">
      <c r="B823" s="33" t="n"/>
      <c r="C823" s="34" t="n"/>
    </row>
    <row r="824" ht="15.75" customHeight="1" s="49">
      <c r="B824" s="33" t="n"/>
      <c r="C824" s="34" t="n"/>
    </row>
    <row r="825" ht="15.75" customHeight="1" s="49">
      <c r="B825" s="33" t="n"/>
      <c r="C825" s="34" t="n"/>
    </row>
    <row r="826" ht="15.75" customHeight="1" s="49">
      <c r="B826" s="33" t="n"/>
      <c r="C826" s="34" t="n"/>
    </row>
    <row r="827" ht="15.75" customHeight="1" s="49">
      <c r="B827" s="33" t="n"/>
      <c r="C827" s="34" t="n"/>
    </row>
    <row r="828" ht="15.75" customHeight="1" s="49">
      <c r="B828" s="33" t="n"/>
      <c r="C828" s="34" t="n"/>
    </row>
    <row r="829" ht="15.75" customHeight="1" s="49">
      <c r="B829" s="33" t="n"/>
      <c r="C829" s="34" t="n"/>
    </row>
    <row r="830" ht="15.75" customHeight="1" s="49">
      <c r="B830" s="33" t="n"/>
      <c r="C830" s="34" t="n"/>
    </row>
    <row r="831" ht="15.75" customHeight="1" s="49">
      <c r="B831" s="33" t="n"/>
      <c r="C831" s="34" t="n"/>
    </row>
    <row r="832" ht="15.75" customHeight="1" s="49">
      <c r="B832" s="33" t="n"/>
      <c r="C832" s="34" t="n"/>
    </row>
    <row r="833" ht="15.75" customHeight="1" s="49">
      <c r="B833" s="33" t="n"/>
      <c r="C833" s="34" t="n"/>
    </row>
    <row r="834" ht="15.75" customHeight="1" s="49">
      <c r="B834" s="33" t="n"/>
      <c r="C834" s="34" t="n"/>
    </row>
    <row r="835" ht="15.75" customHeight="1" s="49">
      <c r="B835" s="33" t="n"/>
      <c r="C835" s="34" t="n"/>
    </row>
    <row r="836" ht="15.75" customHeight="1" s="49">
      <c r="B836" s="33" t="n"/>
      <c r="C836" s="34" t="n"/>
    </row>
    <row r="837" ht="15.75" customHeight="1" s="49">
      <c r="B837" s="33" t="n"/>
      <c r="C837" s="34" t="n"/>
    </row>
    <row r="838" ht="15.75" customHeight="1" s="49">
      <c r="B838" s="33" t="n"/>
      <c r="C838" s="34" t="n"/>
    </row>
    <row r="839" ht="15.75" customHeight="1" s="49">
      <c r="B839" s="33" t="n"/>
      <c r="C839" s="34" t="n"/>
    </row>
    <row r="840" ht="15.75" customHeight="1" s="49">
      <c r="B840" s="33" t="n"/>
      <c r="C840" s="34" t="n"/>
    </row>
    <row r="841" ht="15.75" customHeight="1" s="49">
      <c r="B841" s="33" t="n"/>
      <c r="C841" s="34" t="n"/>
    </row>
    <row r="842" ht="15.75" customHeight="1" s="49">
      <c r="B842" s="33" t="n"/>
      <c r="C842" s="34" t="n"/>
    </row>
    <row r="843" ht="15.75" customHeight="1" s="49">
      <c r="B843" s="33" t="n"/>
      <c r="C843" s="34" t="n"/>
    </row>
    <row r="844" ht="15.75" customHeight="1" s="49">
      <c r="B844" s="33" t="n"/>
      <c r="C844" s="34" t="n"/>
    </row>
    <row r="845" ht="15.75" customHeight="1" s="49">
      <c r="B845" s="33" t="n"/>
      <c r="C845" s="34" t="n"/>
    </row>
    <row r="846" ht="15.75" customHeight="1" s="49">
      <c r="B846" s="33" t="n"/>
      <c r="C846" s="34" t="n"/>
    </row>
    <row r="847" ht="15.75" customHeight="1" s="49">
      <c r="B847" s="33" t="n"/>
      <c r="C847" s="34" t="n"/>
    </row>
    <row r="848" ht="15.75" customHeight="1" s="49">
      <c r="B848" s="33" t="n"/>
      <c r="C848" s="34" t="n"/>
    </row>
    <row r="849" ht="15.75" customHeight="1" s="49">
      <c r="B849" s="33" t="n"/>
      <c r="C849" s="34" t="n"/>
    </row>
    <row r="850" ht="15.75" customHeight="1" s="49">
      <c r="B850" s="33" t="n"/>
      <c r="C850" s="34" t="n"/>
    </row>
    <row r="851" ht="15.75" customHeight="1" s="49">
      <c r="B851" s="33" t="n"/>
      <c r="C851" s="34" t="n"/>
    </row>
    <row r="852" ht="15.75" customHeight="1" s="49">
      <c r="B852" s="33" t="n"/>
      <c r="C852" s="34" t="n"/>
    </row>
    <row r="853" ht="15.75" customHeight="1" s="49">
      <c r="B853" s="33" t="n"/>
      <c r="C853" s="34" t="n"/>
    </row>
    <row r="854" ht="15.75" customHeight="1" s="49">
      <c r="B854" s="33" t="n"/>
      <c r="C854" s="34" t="n"/>
    </row>
    <row r="855" ht="15.75" customHeight="1" s="49">
      <c r="B855" s="33" t="n"/>
      <c r="C855" s="34" t="n"/>
    </row>
    <row r="856" ht="15.75" customHeight="1" s="49">
      <c r="B856" s="33" t="n"/>
      <c r="C856" s="34" t="n"/>
    </row>
    <row r="857" ht="15.75" customHeight="1" s="49">
      <c r="B857" s="33" t="n"/>
      <c r="C857" s="34" t="n"/>
    </row>
    <row r="858" ht="15.75" customHeight="1" s="49">
      <c r="B858" s="33" t="n"/>
      <c r="C858" s="34" t="n"/>
    </row>
    <row r="859" ht="15.75" customHeight="1" s="49">
      <c r="B859" s="33" t="n"/>
      <c r="C859" s="34" t="n"/>
    </row>
    <row r="860" ht="15.75" customHeight="1" s="49">
      <c r="B860" s="33" t="n"/>
      <c r="C860" s="34" t="n"/>
    </row>
    <row r="861" ht="15.75" customHeight="1" s="49">
      <c r="B861" s="33" t="n"/>
      <c r="C861" s="34" t="n"/>
    </row>
    <row r="862" ht="15.75" customHeight="1" s="49">
      <c r="B862" s="33" t="n"/>
      <c r="C862" s="34" t="n"/>
    </row>
    <row r="863" ht="15.75" customHeight="1" s="49">
      <c r="B863" s="33" t="n"/>
      <c r="C863" s="34" t="n"/>
    </row>
    <row r="864" ht="15.75" customHeight="1" s="49">
      <c r="B864" s="33" t="n"/>
      <c r="C864" s="34" t="n"/>
    </row>
    <row r="865" ht="15.75" customHeight="1" s="49">
      <c r="B865" s="33" t="n"/>
      <c r="C865" s="34" t="n"/>
    </row>
    <row r="866" ht="15.75" customHeight="1" s="49">
      <c r="B866" s="33" t="n"/>
      <c r="C866" s="34" t="n"/>
    </row>
    <row r="867" ht="15.75" customHeight="1" s="49">
      <c r="B867" s="33" t="n"/>
      <c r="C867" s="34" t="n"/>
    </row>
    <row r="868" ht="15.75" customHeight="1" s="49">
      <c r="B868" s="33" t="n"/>
      <c r="C868" s="34" t="n"/>
    </row>
    <row r="869" ht="15.75" customHeight="1" s="49">
      <c r="B869" s="33" t="n"/>
      <c r="C869" s="34" t="n"/>
    </row>
    <row r="870" ht="15.75" customHeight="1" s="49">
      <c r="B870" s="33" t="n"/>
      <c r="C870" s="34" t="n"/>
    </row>
    <row r="871" ht="15.75" customHeight="1" s="49">
      <c r="B871" s="33" t="n"/>
      <c r="C871" s="34" t="n"/>
    </row>
    <row r="872" ht="15.75" customHeight="1" s="49">
      <c r="B872" s="33" t="n"/>
      <c r="C872" s="34" t="n"/>
    </row>
    <row r="873" ht="15.75" customHeight="1" s="49">
      <c r="B873" s="33" t="n"/>
      <c r="C873" s="34" t="n"/>
    </row>
    <row r="874" ht="15.75" customHeight="1" s="49">
      <c r="B874" s="33" t="n"/>
      <c r="C874" s="34" t="n"/>
    </row>
    <row r="875" ht="15.75" customHeight="1" s="49">
      <c r="B875" s="33" t="n"/>
      <c r="C875" s="34" t="n"/>
    </row>
    <row r="876" ht="15.75" customHeight="1" s="49">
      <c r="B876" s="33" t="n"/>
      <c r="C876" s="34" t="n"/>
    </row>
    <row r="877" ht="15.75" customHeight="1" s="49">
      <c r="B877" s="33" t="n"/>
      <c r="C877" s="34" t="n"/>
    </row>
    <row r="878" ht="15.75" customHeight="1" s="49">
      <c r="B878" s="33" t="n"/>
      <c r="C878" s="34" t="n"/>
    </row>
    <row r="879" ht="15.75" customHeight="1" s="49">
      <c r="B879" s="33" t="n"/>
      <c r="C879" s="34" t="n"/>
    </row>
    <row r="880" ht="15.75" customHeight="1" s="49">
      <c r="B880" s="33" t="n"/>
      <c r="C880" s="34" t="n"/>
    </row>
    <row r="881" ht="15.75" customHeight="1" s="49">
      <c r="B881" s="33" t="n"/>
      <c r="C881" s="34" t="n"/>
    </row>
    <row r="882" ht="15.75" customHeight="1" s="49">
      <c r="B882" s="33" t="n"/>
      <c r="C882" s="34" t="n"/>
    </row>
    <row r="883" ht="15.75" customHeight="1" s="49">
      <c r="B883" s="33" t="n"/>
      <c r="C883" s="34" t="n"/>
    </row>
    <row r="884" ht="15.75" customHeight="1" s="49">
      <c r="B884" s="33" t="n"/>
      <c r="C884" s="34" t="n"/>
    </row>
    <row r="885" ht="15.75" customHeight="1" s="49">
      <c r="B885" s="33" t="n"/>
      <c r="C885" s="34" t="n"/>
    </row>
    <row r="886" ht="15.75" customHeight="1" s="49">
      <c r="B886" s="33" t="n"/>
      <c r="C886" s="34" t="n"/>
    </row>
    <row r="887" ht="15.75" customHeight="1" s="49">
      <c r="B887" s="33" t="n"/>
      <c r="C887" s="34" t="n"/>
    </row>
    <row r="888" ht="15.75" customHeight="1" s="49">
      <c r="B888" s="33" t="n"/>
      <c r="C888" s="34" t="n"/>
    </row>
    <row r="889" ht="15.75" customHeight="1" s="49">
      <c r="B889" s="33" t="n"/>
      <c r="C889" s="34" t="n"/>
    </row>
    <row r="890" ht="15.75" customHeight="1" s="49">
      <c r="B890" s="33" t="n"/>
      <c r="C890" s="34" t="n"/>
    </row>
    <row r="891" ht="15.75" customHeight="1" s="49">
      <c r="B891" s="33" t="n"/>
      <c r="C891" s="34" t="n"/>
    </row>
    <row r="892" ht="15.75" customHeight="1" s="49">
      <c r="B892" s="33" t="n"/>
      <c r="C892" s="34" t="n"/>
    </row>
    <row r="893" ht="15.75" customHeight="1" s="49">
      <c r="B893" s="33" t="n"/>
      <c r="C893" s="34" t="n"/>
    </row>
    <row r="894" ht="15.75" customHeight="1" s="49">
      <c r="B894" s="33" t="n"/>
      <c r="C894" s="34" t="n"/>
    </row>
    <row r="895" ht="15.75" customHeight="1" s="49">
      <c r="B895" s="33" t="n"/>
      <c r="C895" s="34" t="n"/>
    </row>
    <row r="896" ht="15.75" customHeight="1" s="49">
      <c r="B896" s="33" t="n"/>
      <c r="C896" s="34" t="n"/>
    </row>
    <row r="897" ht="15.75" customHeight="1" s="49">
      <c r="B897" s="33" t="n"/>
      <c r="C897" s="34" t="n"/>
    </row>
    <row r="898" ht="15.75" customHeight="1" s="49">
      <c r="B898" s="33" t="n"/>
      <c r="C898" s="34" t="n"/>
    </row>
    <row r="899" ht="15.75" customHeight="1" s="49">
      <c r="B899" s="33" t="n"/>
      <c r="C899" s="34" t="n"/>
    </row>
    <row r="900" ht="15.75" customHeight="1" s="49">
      <c r="B900" s="33" t="n"/>
      <c r="C900" s="34" t="n"/>
    </row>
    <row r="901" ht="15.75" customHeight="1" s="49">
      <c r="B901" s="33" t="n"/>
      <c r="C901" s="34" t="n"/>
    </row>
    <row r="902" ht="15.75" customHeight="1" s="49">
      <c r="B902" s="33" t="n"/>
      <c r="C902" s="34" t="n"/>
    </row>
    <row r="903" ht="15.75" customHeight="1" s="49">
      <c r="B903" s="33" t="n"/>
      <c r="C903" s="34" t="n"/>
    </row>
    <row r="904" ht="15.75" customHeight="1" s="49">
      <c r="B904" s="33" t="n"/>
      <c r="C904" s="34" t="n"/>
    </row>
    <row r="905" ht="15.75" customHeight="1" s="49">
      <c r="B905" s="33" t="n"/>
      <c r="C905" s="34" t="n"/>
    </row>
    <row r="906" ht="15.75" customHeight="1" s="49">
      <c r="B906" s="33" t="n"/>
      <c r="C906" s="34" t="n"/>
    </row>
    <row r="907" ht="15.75" customHeight="1" s="49">
      <c r="B907" s="33" t="n"/>
      <c r="C907" s="34" t="n"/>
    </row>
    <row r="908" ht="15.75" customHeight="1" s="49">
      <c r="B908" s="33" t="n"/>
      <c r="C908" s="34" t="n"/>
    </row>
    <row r="909" ht="15.75" customHeight="1" s="49">
      <c r="B909" s="33" t="n"/>
      <c r="C909" s="34" t="n"/>
    </row>
    <row r="910" ht="15.75" customHeight="1" s="49">
      <c r="B910" s="33" t="n"/>
      <c r="C910" s="34" t="n"/>
    </row>
    <row r="911" ht="15.75" customHeight="1" s="49">
      <c r="B911" s="33" t="n"/>
      <c r="C911" s="34" t="n"/>
    </row>
    <row r="912" ht="15.75" customHeight="1" s="49">
      <c r="B912" s="33" t="n"/>
      <c r="C912" s="34" t="n"/>
    </row>
    <row r="913" ht="15.75" customHeight="1" s="49">
      <c r="B913" s="33" t="n"/>
      <c r="C913" s="34" t="n"/>
    </row>
    <row r="914" ht="15.75" customHeight="1" s="49">
      <c r="B914" s="33" t="n"/>
      <c r="C914" s="34" t="n"/>
    </row>
    <row r="915" ht="15.75" customHeight="1" s="49">
      <c r="B915" s="33" t="n"/>
      <c r="C915" s="34" t="n"/>
    </row>
    <row r="916" ht="15.75" customHeight="1" s="49">
      <c r="B916" s="33" t="n"/>
      <c r="C916" s="34" t="n"/>
    </row>
    <row r="917" ht="15.75" customHeight="1" s="49">
      <c r="B917" s="33" t="n"/>
      <c r="C917" s="34" t="n"/>
    </row>
    <row r="918" ht="15.75" customHeight="1" s="49">
      <c r="B918" s="33" t="n"/>
      <c r="C918" s="34" t="n"/>
    </row>
    <row r="919" ht="15.75" customHeight="1" s="49">
      <c r="B919" s="33" t="n"/>
      <c r="C919" s="34" t="n"/>
    </row>
    <row r="920" ht="15.75" customHeight="1" s="49">
      <c r="B920" s="33" t="n"/>
      <c r="C920" s="34" t="n"/>
    </row>
    <row r="921" ht="15.75" customHeight="1" s="49">
      <c r="B921" s="33" t="n"/>
      <c r="C921" s="34" t="n"/>
    </row>
    <row r="922" ht="15.75" customHeight="1" s="49">
      <c r="B922" s="33" t="n"/>
      <c r="C922" s="34" t="n"/>
    </row>
    <row r="923" ht="15.75" customHeight="1" s="49">
      <c r="B923" s="33" t="n"/>
      <c r="C923" s="34" t="n"/>
    </row>
    <row r="924" ht="15.75" customHeight="1" s="49">
      <c r="B924" s="33" t="n"/>
      <c r="C924" s="34" t="n"/>
    </row>
    <row r="925" ht="15.75" customHeight="1" s="49">
      <c r="B925" s="33" t="n"/>
      <c r="C925" s="34" t="n"/>
    </row>
    <row r="926" ht="15.75" customHeight="1" s="49">
      <c r="B926" s="33" t="n"/>
      <c r="C926" s="34" t="n"/>
    </row>
    <row r="927" ht="15.75" customHeight="1" s="49">
      <c r="B927" s="33" t="n"/>
      <c r="C927" s="34" t="n"/>
    </row>
    <row r="928" ht="15.75" customHeight="1" s="49">
      <c r="B928" s="33" t="n"/>
      <c r="C928" s="34" t="n"/>
    </row>
    <row r="929" ht="15.75" customHeight="1" s="49">
      <c r="B929" s="33" t="n"/>
      <c r="C929" s="34" t="n"/>
    </row>
    <row r="930" ht="15.75" customHeight="1" s="49">
      <c r="B930" s="33" t="n"/>
      <c r="C930" s="34" t="n"/>
    </row>
    <row r="931" ht="15.75" customHeight="1" s="49">
      <c r="B931" s="33" t="n"/>
      <c r="C931" s="34" t="n"/>
    </row>
    <row r="932" ht="15.75" customHeight="1" s="49">
      <c r="B932" s="33" t="n"/>
      <c r="C932" s="34" t="n"/>
    </row>
    <row r="933" ht="15.75" customHeight="1" s="49">
      <c r="B933" s="33" t="n"/>
      <c r="C933" s="34" t="n"/>
    </row>
    <row r="934" ht="15.75" customHeight="1" s="49">
      <c r="B934" s="33" t="n"/>
      <c r="C934" s="34" t="n"/>
    </row>
    <row r="935" ht="15.75" customHeight="1" s="49">
      <c r="B935" s="33" t="n"/>
      <c r="C935" s="34" t="n"/>
    </row>
    <row r="936" ht="15.75" customHeight="1" s="49">
      <c r="B936" s="33" t="n"/>
      <c r="C936" s="34" t="n"/>
    </row>
    <row r="937" ht="15.75" customHeight="1" s="49">
      <c r="B937" s="33" t="n"/>
      <c r="C937" s="34" t="n"/>
    </row>
    <row r="938" ht="15.75" customHeight="1" s="49">
      <c r="B938" s="33" t="n"/>
      <c r="C938" s="34" t="n"/>
    </row>
    <row r="939" ht="15.75" customHeight="1" s="49">
      <c r="B939" s="33" t="n"/>
      <c r="C939" s="34" t="n"/>
    </row>
    <row r="940" ht="15.75" customHeight="1" s="49">
      <c r="B940" s="33" t="n"/>
      <c r="C940" s="34" t="n"/>
    </row>
    <row r="941" ht="15.75" customHeight="1" s="49">
      <c r="B941" s="33" t="n"/>
      <c r="C941" s="34" t="n"/>
    </row>
    <row r="942" ht="15.75" customHeight="1" s="49">
      <c r="B942" s="33" t="n"/>
      <c r="C942" s="34" t="n"/>
    </row>
    <row r="943" ht="15.75" customHeight="1" s="49">
      <c r="B943" s="33" t="n"/>
      <c r="C943" s="34" t="n"/>
    </row>
    <row r="944" ht="15.75" customHeight="1" s="49">
      <c r="B944" s="33" t="n"/>
      <c r="C944" s="34" t="n"/>
    </row>
    <row r="945" ht="15.75" customHeight="1" s="49">
      <c r="B945" s="33" t="n"/>
      <c r="C945" s="34" t="n"/>
    </row>
    <row r="946" ht="15.75" customHeight="1" s="49">
      <c r="B946" s="33" t="n"/>
      <c r="C946" s="34" t="n"/>
    </row>
    <row r="947" ht="15.75" customHeight="1" s="49">
      <c r="B947" s="33" t="n"/>
      <c r="C947" s="34" t="n"/>
    </row>
    <row r="948" ht="15.75" customHeight="1" s="49">
      <c r="B948" s="33" t="n"/>
      <c r="C948" s="34" t="n"/>
    </row>
    <row r="949" ht="15.75" customHeight="1" s="49">
      <c r="B949" s="33" t="n"/>
      <c r="C949" s="34" t="n"/>
    </row>
    <row r="950" ht="15.75" customHeight="1" s="49">
      <c r="B950" s="33" t="n"/>
      <c r="C950" s="34" t="n"/>
    </row>
    <row r="951" ht="15.75" customHeight="1" s="49">
      <c r="B951" s="33" t="n"/>
      <c r="C951" s="34" t="n"/>
    </row>
    <row r="952" ht="15.75" customHeight="1" s="49">
      <c r="B952" s="33" t="n"/>
      <c r="C952" s="34" t="n"/>
    </row>
    <row r="953" ht="15.75" customHeight="1" s="49">
      <c r="B953" s="33" t="n"/>
      <c r="C953" s="34" t="n"/>
    </row>
    <row r="954" ht="15.75" customHeight="1" s="49">
      <c r="B954" s="33" t="n"/>
      <c r="C954" s="34" t="n"/>
    </row>
    <row r="955" ht="15.75" customHeight="1" s="49">
      <c r="B955" s="33" t="n"/>
      <c r="C955" s="34" t="n"/>
    </row>
    <row r="956" ht="15.75" customHeight="1" s="49">
      <c r="B956" s="33" t="n"/>
      <c r="C956" s="34" t="n"/>
    </row>
    <row r="957" ht="15.75" customHeight="1" s="49">
      <c r="B957" s="33" t="n"/>
      <c r="C957" s="34" t="n"/>
    </row>
    <row r="958" ht="15.75" customHeight="1" s="49">
      <c r="B958" s="33" t="n"/>
      <c r="C958" s="34" t="n"/>
    </row>
    <row r="959" ht="15.75" customHeight="1" s="49">
      <c r="B959" s="33" t="n"/>
      <c r="C959" s="34" t="n"/>
    </row>
    <row r="960" ht="15.75" customHeight="1" s="49">
      <c r="B960" s="33" t="n"/>
      <c r="C960" s="34" t="n"/>
    </row>
    <row r="961" ht="15.75" customHeight="1" s="49">
      <c r="B961" s="33" t="n"/>
      <c r="C961" s="34" t="n"/>
    </row>
    <row r="962" ht="15.75" customHeight="1" s="49">
      <c r="B962" s="33" t="n"/>
      <c r="C962" s="34" t="n"/>
    </row>
    <row r="963" ht="15.75" customHeight="1" s="49">
      <c r="B963" s="33" t="n"/>
      <c r="C963" s="34" t="n"/>
    </row>
    <row r="964" ht="15.75" customHeight="1" s="49">
      <c r="B964" s="33" t="n"/>
      <c r="C964" s="34" t="n"/>
    </row>
    <row r="965" ht="15.75" customHeight="1" s="49">
      <c r="B965" s="33" t="n"/>
      <c r="C965" s="34" t="n"/>
    </row>
    <row r="966" ht="15.75" customHeight="1" s="49">
      <c r="B966" s="33" t="n"/>
      <c r="C966" s="34" t="n"/>
    </row>
    <row r="967" ht="15.75" customHeight="1" s="49">
      <c r="B967" s="33" t="n"/>
      <c r="C967" s="34" t="n"/>
    </row>
    <row r="968" ht="15.75" customHeight="1" s="49">
      <c r="B968" s="33" t="n"/>
      <c r="C968" s="34" t="n"/>
    </row>
    <row r="969" ht="15.75" customHeight="1" s="49">
      <c r="B969" s="33" t="n"/>
      <c r="C969" s="34" t="n"/>
    </row>
    <row r="970" ht="15.75" customHeight="1" s="49">
      <c r="B970" s="33" t="n"/>
      <c r="C970" s="34" t="n"/>
    </row>
    <row r="971" ht="15.75" customHeight="1" s="49">
      <c r="B971" s="33" t="n"/>
      <c r="C971" s="34" t="n"/>
    </row>
    <row r="972" ht="15.75" customHeight="1" s="49">
      <c r="B972" s="33" t="n"/>
      <c r="C972" s="34" t="n"/>
    </row>
    <row r="973" ht="15.75" customHeight="1" s="49">
      <c r="B973" s="33" t="n"/>
      <c r="C973" s="34" t="n"/>
    </row>
    <row r="974" ht="15.75" customHeight="1" s="49">
      <c r="B974" s="33" t="n"/>
      <c r="C974" s="34" t="n"/>
    </row>
    <row r="975" ht="15.75" customHeight="1" s="49">
      <c r="B975" s="33" t="n"/>
      <c r="C975" s="34" t="n"/>
    </row>
    <row r="976" ht="15.75" customHeight="1" s="49">
      <c r="B976" s="33" t="n"/>
      <c r="C976" s="34" t="n"/>
    </row>
    <row r="977" ht="15.75" customHeight="1" s="49">
      <c r="B977" s="33" t="n"/>
      <c r="C977" s="34" t="n"/>
    </row>
    <row r="978" ht="15.75" customHeight="1" s="49">
      <c r="B978" s="33" t="n"/>
      <c r="C978" s="34" t="n"/>
    </row>
    <row r="979" ht="15.75" customHeight="1" s="49">
      <c r="B979" s="33" t="n"/>
      <c r="C979" s="34" t="n"/>
    </row>
    <row r="980" ht="15.75" customHeight="1" s="49">
      <c r="B980" s="33" t="n"/>
      <c r="C980" s="34" t="n"/>
    </row>
    <row r="981" ht="15.75" customHeight="1" s="49">
      <c r="B981" s="33" t="n"/>
      <c r="C981" s="34" t="n"/>
    </row>
    <row r="982" ht="15.75" customHeight="1" s="49">
      <c r="B982" s="33" t="n"/>
      <c r="C982" s="34" t="n"/>
    </row>
    <row r="983" ht="15.75" customHeight="1" s="49">
      <c r="B983" s="33" t="n"/>
      <c r="C983" s="34" t="n"/>
    </row>
    <row r="984" ht="15.75" customHeight="1" s="49">
      <c r="B984" s="33" t="n"/>
      <c r="C984" s="34" t="n"/>
    </row>
    <row r="985" ht="15.75" customHeight="1" s="49">
      <c r="B985" s="33" t="n"/>
      <c r="C985" s="34" t="n"/>
    </row>
    <row r="986" ht="15.75" customHeight="1" s="49">
      <c r="B986" s="33" t="n"/>
      <c r="C986" s="34" t="n"/>
    </row>
    <row r="987" ht="15.75" customHeight="1" s="49">
      <c r="B987" s="33" t="n"/>
      <c r="C987" s="34" t="n"/>
    </row>
    <row r="988" ht="15.75" customHeight="1" s="49">
      <c r="B988" s="33" t="n"/>
      <c r="C988" s="34" t="n"/>
    </row>
    <row r="989" ht="15.75" customHeight="1" s="49">
      <c r="B989" s="33" t="n"/>
      <c r="C989" s="34" t="n"/>
    </row>
    <row r="990" ht="15.75" customHeight="1" s="49">
      <c r="B990" s="33" t="n"/>
      <c r="C990" s="34" t="n"/>
    </row>
    <row r="991" ht="15.75" customHeight="1" s="49">
      <c r="B991" s="33" t="n"/>
      <c r="C991" s="34" t="n"/>
    </row>
    <row r="992" ht="15.75" customHeight="1" s="49">
      <c r="B992" s="33" t="n"/>
      <c r="C992" s="34" t="n"/>
    </row>
    <row r="993" ht="15.75" customHeight="1" s="49">
      <c r="B993" s="33" t="n"/>
      <c r="C993" s="34" t="n"/>
    </row>
    <row r="994" ht="15.75" customHeight="1" s="49">
      <c r="B994" s="33" t="n"/>
      <c r="C994" s="34" t="n"/>
    </row>
    <row r="995" ht="15.75" customHeight="1" s="49">
      <c r="B995" s="33" t="n"/>
      <c r="C995" s="34" t="n"/>
    </row>
    <row r="996" ht="15.75" customHeight="1" s="49">
      <c r="B996" s="33" t="n"/>
      <c r="C996" s="34" t="n"/>
    </row>
    <row r="997" ht="15.75" customHeight="1" s="49">
      <c r="B997" s="33" t="n"/>
      <c r="C997" s="34" t="n"/>
    </row>
    <row r="998" ht="15.75" customHeight="1" s="49">
      <c r="B998" s="33" t="n"/>
      <c r="C998" s="34" t="n"/>
    </row>
    <row r="999" ht="15.75" customHeight="1" s="49">
      <c r="B999" s="33" t="n"/>
      <c r="C999" s="34" t="n"/>
    </row>
    <row r="1000" ht="15.75" customHeight="1" s="49">
      <c r="B1000" s="33" t="n"/>
      <c r="C1000" s="34" t="n"/>
    </row>
    <row r="1001" ht="15.75" customHeight="1" s="49">
      <c r="B1001" s="33" t="n"/>
      <c r="C1001" s="34" t="n"/>
    </row>
  </sheetData>
  <mergeCells count="16">
    <mergeCell ref="W1:W2"/>
    <mergeCell ref="X1:X2"/>
    <mergeCell ref="A1:A2"/>
    <mergeCell ref="T1:V1"/>
    <mergeCell ref="C1:C2"/>
    <mergeCell ref="B1:B2"/>
    <mergeCell ref="D1:D2"/>
    <mergeCell ref="E1:E2"/>
    <mergeCell ref="F1:F2"/>
    <mergeCell ref="I1:I2"/>
    <mergeCell ref="Q1:S1"/>
    <mergeCell ref="G1:G2"/>
    <mergeCell ref="J1:J2"/>
    <mergeCell ref="H1:H2"/>
    <mergeCell ref="N1:P1"/>
    <mergeCell ref="K1:M1"/>
  </mergeCells>
  <dataValidations count="2">
    <dataValidation sqref="H3:H10" showDropDown="0" showInputMessage="0" showErrorMessage="1" allowBlank="1" type="list">
      <formula1>"New Model / Framework,Dataset / Benchmark,Evaluation / Analysis"</formula1>
    </dataValidation>
    <dataValidation sqref="B3:B10" showDropDown="0" showInputMessage="0" showErrorMessage="1" allowBlank="1" type="list">
      <formula1>"Trang,Thế Anh"</formula1>
    </dataValidation>
  </dataValidations>
  <hyperlinks>
    <hyperlink xmlns:r="http://schemas.openxmlformats.org/officeDocument/2006/relationships" ref="W7" r:id="rId1"/>
    <hyperlink xmlns:r="http://schemas.openxmlformats.org/officeDocument/2006/relationships" ref="W8" r:id="rId2"/>
    <hyperlink xmlns:r="http://schemas.openxmlformats.org/officeDocument/2006/relationships" ref="W9" r:id="rId3"/>
    <hyperlink xmlns:r="http://schemas.openxmlformats.org/officeDocument/2006/relationships" ref="X9" r:id="rId4"/>
    <hyperlink xmlns:r="http://schemas.openxmlformats.org/officeDocument/2006/relationships" ref="W10" r:id="rId5"/>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O1001"/>
  <sheetViews>
    <sheetView workbookViewId="0">
      <selection activeCell="A1" sqref="A1"/>
    </sheetView>
  </sheetViews>
  <sheetFormatPr baseColWidth="8" defaultColWidth="14.43" defaultRowHeight="15" customHeight="1"/>
  <cols>
    <col width="21.29" customWidth="1" style="49" min="1" max="1"/>
    <col width="136" customWidth="1" style="49" min="2" max="2"/>
    <col width="90.43000000000001" customWidth="1" style="49" min="3" max="3"/>
    <col width="136" customWidth="1" style="49" min="4" max="4"/>
    <col width="36.71" customWidth="1" style="49" min="5" max="5"/>
    <col width="63.71" customWidth="1" style="49" min="6" max="6"/>
    <col width="83.56999999999999" customWidth="1" style="49" min="7" max="7"/>
    <col width="26.29" customWidth="1" style="49" min="11" max="11"/>
    <col width="9.859999999999999" customWidth="1" style="49" min="12" max="12"/>
    <col width="10" customWidth="1" style="49" min="13" max="13"/>
    <col width="11" customWidth="1" style="49" min="14" max="14"/>
    <col width="10.29" customWidth="1" style="49" min="15" max="15"/>
  </cols>
  <sheetData>
    <row r="1">
      <c r="A1" s="36" t="n"/>
      <c r="B1" s="37" t="inlineStr">
        <is>
          <t>Mục tiêu chính</t>
        </is>
      </c>
      <c r="C1" s="37" t="inlineStr">
        <is>
          <t>Bộ dataset sẽ sử dụng</t>
        </is>
      </c>
      <c r="D1" s="37" t="inlineStr">
        <is>
          <t>Cách đánh giá để chứng minh độ hiệu quả</t>
        </is>
      </c>
      <c r="E1" s="37" t="inlineStr">
        <is>
          <t>Lý do chọn bộ dataset này và các bước tinh chỉnh (nếu có)</t>
        </is>
      </c>
      <c r="F1" s="37" t="inlineStr">
        <is>
          <t>Các thông số đánh giá</t>
        </is>
      </c>
      <c r="G1" s="37" t="inlineStr">
        <is>
          <t>Tiến độ hiện tại</t>
        </is>
      </c>
    </row>
    <row r="2">
      <c r="A2" s="38" t="inlineStr">
        <is>
          <t>Khung đánh giá số 1</t>
        </is>
      </c>
      <c r="B2" s="39" t="inlineStr">
        <is>
          <t>Đánh giá độ hiệu quả của bộ phận retriever sau khi đã được training federated nhằm cải thiện độ chính xác của model embedding model - việc training nhằm cải thiện độ chính xác trong việc tìm kiếm các tài liệu liên quan nhất đến query của người dùng, giảm bớt được phần nào đánh đổi do áp dụng các cơ chế bảo mật được thêm vào để bảo vệ các model AI trước các cuộc tấn công</t>
        </is>
      </c>
      <c r="C2" s="40" t="inlineStr">
        <is>
          <t>Định dạng: {user query; text chunk}
Dữ liệu được chia tách biệt về lĩnh vực tài chính của 5 công ty tài chính nhưng trong các ngách riêng theo phân loại 11 nhóm tài chính khác nhau: AES
Corporation, Boeing Company, Activision Blizzard, PG, and PepsiCo. Có tổng cộng 51 documents, bao gồm 23,123 trang tài liệu.Từ các dữ liệu đó tạo ra 43,658 querychunk document pairs synthetic.
Bộ dữ liệu có sẵn và được lấy từ bài báo: Privacy-Preserving Federated Embedding Learning
for Localized Retrieval-Augmented Generation - đây là bài báo làm nền tảng cho nhóm</t>
        </is>
      </c>
      <c r="D2" s="40" t="inlineStr">
        <is>
          <t>Tiếp tục sử dụng bộ dataset của bài báo Privacy-Preserving Federated Embedding Learning for Localized Retrieval-Augmented Generation nhưng thuộc bộ validation và test với số lượng cặp query; text chunk là 50 và 100
Thực hiện đánh giá với chính bài báo này vì chung một cốt lõi kiến trúc và triển khai - mục đích là để xem việc tích hợp thêm các cơ chế bảo vệ như Differential Privacy và kiểu training Lora thay thế cách full training của bài báo thì đánh đổi bao nhiêu độ chính xác
Và đồng thời là các cơ chế bảo vệ dưới phần downstream đã gây ảnh hưởng thế nào đến hiệu suất gốc vốn là bài báo được lấy làm nền tảng cho nghiên cứu cải tiến này.</t>
        </is>
      </c>
      <c r="E2" s="41" t="inlineStr">
        <is>
          <t>Dataset này của bài bào gốc nhóm chọn để cải tiến - bao gồm cả phần downstream và upstream - nhóm cải tiến thêm các phần về bảo vệ security ở phần downstream và upstream nên có thể coi dataset của bài gốc là gốc để làm quy chuẩn đánh giá được với chỉ sổ của bài gốc, đảm bảo đánh giá khách quan nhất vì giống nhau về kiến trúc, dataset và khác nhau về cách triển khai security nên sẽ đánh giá khách quan được sự đánh đổi giữa hiệu suất chính xác với bảo mật khi nhóm thêm các cơ chế bảo mật như vậy.</t>
        </is>
      </c>
      <c r="F2" s="41" t="inlineStr">
        <is>
          <t>Chỉ số dựa trên sự hiện diện (Presence-Based Metrics): Bao gồm Hit@1, Hit@10 và EM (Exact Match).
Giải thích: Nhóm này chỉ quan tâm đến việc đoạn văn bản đúng (ground truth) có xuất hiện trong top k kết quả trả về hay không, bất kể nó đứng ở vị trí thứ mấy. EM đo lường sự trùng khớp chính xác tuyệt đối của kết quả.
Chỉ số nhạy cảm với thứ tự (Order-Sensitive Metrics): Bao gồm MRR, MAP và họ DCG (DCG, NDCG, IDCG).
Giải thích: Nhóm này đánh giá chất lượng xếp hạng (ranking). Nó nhấn mạnh vào vị trí của kết quả; hệ thống sẽ đạt điểm cao hơn nếu tài liệu liên quan nhất được xếp ở những vị trí đầu tiên (đặc biệt là IDCG đại diện cho mức xếp hạng hoàn hảo nhất có thể)
.
Chỉ số dựa trên ngưỡng (Threshold-Driven Metrics): Bao gồm F1, Accuracy@k, Recall@k, và Precision@k.</t>
        </is>
      </c>
      <c r="G2" s="41" t="inlineStr">
        <is>
          <t>Đã thực hiện chạy đánh giá và có kết quả khá khả quan như sau:
Setup,Val Hit@1,Val MRR,Test Hit@1,Test MRR
BGE base (Phase 6.5C),56,41.60,49,37.13
SEC-BERT pretrained,8 ❌,2.25,5,3.28
BGE + LlamaIndex chunk,62,48.47,62 ⭐,46.80 ⭐
BGE + LlamaIndex + QE3,74 ⭐,55.79 ⭐,61,46.23
Paper claim,87,71,73,—
Tóm tắt thì giảm tầm 10 - 15 % trên các chỉ số so với bài báo gốc - một mức đánh đổi có thể chấp nhận được khi thêm các cơ chế bảo mật như vậy - nhóm đang tính tiếp tục training lại model và đánh giá với các giá trị cho các tham số DF khác nhau để xem ngưỡng phù hợp</t>
        </is>
      </c>
      <c r="K2" s="42" t="inlineStr">
        <is>
          <t>Setup</t>
        </is>
      </c>
      <c r="L2" s="42" t="inlineStr">
        <is>
          <t>Val Hit@1</t>
        </is>
      </c>
      <c r="M2" s="42" t="inlineStr">
        <is>
          <t>Val MRR</t>
        </is>
      </c>
      <c r="N2" s="42" t="inlineStr">
        <is>
          <t>Test Hit@1</t>
        </is>
      </c>
      <c r="O2" s="42" t="inlineStr">
        <is>
          <t>Test MRR</t>
        </is>
      </c>
    </row>
    <row r="3">
      <c r="A3" s="38" t="inlineStr">
        <is>
          <t>Khung đánh giá số 2</t>
        </is>
      </c>
      <c r="B3" s="39" t="inlineStr">
        <is>
          <t>Đánh giá độ hiệu quả toàn diện cho cả kiến trúc RAG bao gồm cả phần retriever và generation sau khi đã áp dụng các cơ chế bảo vệ cho kiến trúc, kiểm tra sự đánh đổi về hiệu suất, độ chính xác để đổi lấy bảo mật
nhằm có cái nhìn toàn diện hơn về độ chính xác và mức độ đánh đổi giữa hiệu năng và bảo mật</t>
        </is>
      </c>
      <c r="C3" s="39" t="inlineStr">
        <is>
          <t xml:space="preserve">Bộ dataset tự xây dựng với thông số như sau:
Dạng dữ liệu được dùng để train (query, text chunk)
Nguồn và phân bổ sổ lượng mẫu được dùng để train:
Client ID        Nguồn Dữ Liệu (Company)        Số lượng Mẫu        Tỷ lệ (%)
Client 1        WEBMD                                              27,717                46.6%
Client 2        COVID + covid_synthetic                   11,993                20.2%
Client 3        MEDQUAD_GENETICS                   10,251                17.2%
                        Client 4        MEDQUAD_CANCER + medquad_cancer_synthetic        6,292        10.6%
Client 5        MEDQUAD_GENERAL                     3,207                 5.4%
Tổng cộng                59,460        mẫu
Nguồn dữ liệu trên được nhóm tự xử lý thu nhập để sử dụng cho việc cho việc training federated model embed phía upstream
Phân bố độ dài dữ liệu:
Client,Độ dài Câu Hỏi (Trung bình / Max),Độ dài Câu Trả Lời (Trung bình / Max),% Mẫu &lt; 512 Tokens*
Client 1,8.5 / 27 từ,66.1 / 361 từ,100.00%
Client 2,20.4 / 68 từ,98.9 / 344 từ,100.00%
Client 3,8.3 / 19 từ,148.3 / 390 từ,98.95%
Client 4,19.6 / 79 từ,128.6 / 390 từ,99.54%
Client 5,7.5 / 19 từ,131.5 / 390 từ,99.41%
</t>
        </is>
      </c>
      <c r="D3" s="43" t="inlineStr">
        <is>
          <t xml:space="preserve">Bộ Dataset được chọn để đánh giá: MIRAGE 
Lý do chọn dataset: vì bộ dữ liệu cung cấp rất đồ sộ về số lượng hỗ trợ việc đánh giá kiến trúc xem có hoạt động tốt khi database lớn hay không, và một điểm nữa là có 1 bài khác trong hệ sinh thái federated learning + RAG sử dụng bộ này nên nhóm sẽ sử dụng bộ này để đánh giá trực tiếp và so sánh với bài được chọn để chứng minh độ hiệu quả của hệ thống
LLM được sử dụng cho Generation Module là lllama3-8b-instruct và lllama3-8b-instruct =&gt; lý do: nhằm chung một quy chuẩn với các bài nhóm định so sánh chỉ số cùng
Các bài báo / nghiên cứu được nhóm chọn để so sánh độ hiệu quả cùng:
C-FedRag: bài báo này sử dụng kiến trúc về federated rag tương tự như cách tiếp cận phần downstream của dự án của nhóm - bộ dataset sử dụng: mirage - model sử dụng: llama3-8b-Instruct
RAG^2
</t>
        </is>
      </c>
      <c r="E3" s="43" t="inlineStr">
        <is>
          <t xml:space="preserve">Bởi nguồn dữ liệu về y tế được công khai khá nhiều
Có khá nhiều bài báo sử dụng kiến trúc fedrag sử dụng bộ dataset về y tế
Dễ dàng chọn ra các framework để có khung đánh giá khách quan về hiệu quả framework của nhóm với các framework khác trong cùng một điều kiện về mô hình, dataset và cách triển khai kiến trúc nếu có thể </t>
        </is>
      </c>
      <c r="F3" s="39" t="inlineStr">
        <is>
          <t>Vì bộ đánh giá là các câu trắc nghiệm nên chỉ số đánh giá là độ chính xác (hay số câu chọn đáp án đúng)</t>
        </is>
      </c>
      <c r="G3" s="39" t="inlineStr">
        <is>
          <t>Đang cân nhắc và đánh giá số tiền cần để training vì đánh giá cả hệ thống thì cần training rag router trên bộ dữ liệu y tế sau khi embed nặng gần 600 GB dữ liệu</t>
        </is>
      </c>
      <c r="K3" s="42" t="inlineStr">
        <is>
          <t>BGE base (Phase 6.5C)</t>
        </is>
      </c>
      <c r="L3" s="44" t="n">
        <v>56</v>
      </c>
      <c r="M3" s="44" t="n">
        <v>41.6</v>
      </c>
      <c r="N3" s="44" t="n">
        <v>49</v>
      </c>
      <c r="O3" s="44" t="n">
        <v>37.13</v>
      </c>
    </row>
    <row r="4">
      <c r="A4" s="38" t="inlineStr">
        <is>
          <t>Khung đánh giá số 3</t>
        </is>
      </c>
      <c r="B4" s="45" t="inlineStr">
        <is>
          <t>Đánh giá khả năng bảo vệ thực tế của framework của nhóm triển khai với các loại tấn công vào RAG phổ biến</t>
        </is>
      </c>
      <c r="C4" s="39" t="inlineStr">
        <is>
          <t>Nhóm đang thực hiện tìm kiếm kĩ (sẽ cập nhật sau)</t>
        </is>
      </c>
      <c r="D4" s="40" t="inlineStr">
        <is>
          <t>Thực hiện phân tích đánh giá đảm bảo không rò rỉ các khía cạnh sau - thiên về mặt kiến trúc biện luận và so khớp:
Nhánh Leakage (Rò rỉ dữ liệu) Nhánh này tập trung vào các nguy cơ lộ lọt thông tin từ các thành phần trong hệ thống:
+ Data Leakage (Rò rỉ dữ liệu cấu trúc/nền tảng): Bao gồm các dạng nhỏ hơn:
+ Dataset Leakage: Rò rỉ toàn bộ hoặc một phần tập dữ liệu gốc.
+ Vector Database Leakage: Rò rỉ từ cơ sở dữ liệu vector.
+ Retrieved Chunk Leakage: Rò rỉ các đoạn thông tin (chunks) được truy xuất lên.
+ Answer Leakage: Rò rỉ câu trả lời đầu ra.
+ Prompt Leakage: Rò rỉ các cấu trúc chỉ dẫn hoặc câu lệnh định hướng hệ thống gốc.
Thực hiện tấn công trực tiếp vào model RAG, các kiểu tấn công sẽ được đảm bảo bao quát các nhóm tấn công kiến trúc RAG sau :
Nhánh Adversarial Manipulation (Thao túng/Tấn công có chủ đích) - Nhánh này bao gồm các kỹ thuật và phương thức tấn công trực tiếp do tác nhân bên ngoài thực hiện:
+ Data Poisoning Attacks: Tấn công thao túng hoặc làm nhiễm độc dữ liệu đầu vào.
+ Backdoor Attacks: Tấn công cài cắm cửa sau vào hệ thống.
+ Data Extraction Attacks: Tấn công trích xuất dữ liệu thô từ mô hình hoặc hệ thống.
+ Jailbreak Attacks: Tấn công bẻ khóa (vượt qua các ranh giới kiểm soát an toàn của mô hình).
+ LLM Extraction/Inversion Attacks: Tấn công trích xuất ngược hoặc đảo ngược cơ chế để tìm hiểu thông tin bên trong mô hình.
+ Prompt Extraction Attacks: Tấn công thu thập và trích xuất các câu lệnh hệ thống ẩn.
+ Membership Inference Attacks: Tấn công suy diễn thành viên (xác định xem một dữ liệu cụ thể có nằm trong tập huấn luyện hay không).
+ Prompt Injection Attacks: Tấn công chèn câu lệnh độc hại để thay đổi hành vi của hệ thống.</t>
        </is>
      </c>
      <c r="E4" s="39" t="inlineStr">
        <is>
          <t>Thực hiện vượt qua phần nào các cuộc tấn công thực tế là minh chứng hiệu quả nhất cho vấn đề bảo mật</t>
        </is>
      </c>
      <c r="F4" s="45" t="inlineStr">
        <is>
          <t>Đang cập nhật</t>
        </is>
      </c>
      <c r="G4" s="45" t="inlineStr">
        <is>
          <t>Đang cập nhật</t>
        </is>
      </c>
      <c r="K4" s="42" t="inlineStr">
        <is>
          <t>SEC-BERT pretrained</t>
        </is>
      </c>
      <c r="L4" s="44" t="inlineStr">
        <is>
          <t>8 ❌</t>
        </is>
      </c>
      <c r="M4" s="44" t="n">
        <v>2.25</v>
      </c>
      <c r="N4" s="44" t="n">
        <v>5</v>
      </c>
      <c r="O4" s="44" t="n">
        <v>3.28</v>
      </c>
    </row>
    <row r="5">
      <c r="A5" s="46" t="n"/>
      <c r="B5" s="46" t="n"/>
      <c r="C5" s="46" t="n"/>
      <c r="D5" s="46" t="n"/>
      <c r="E5" s="47" t="n"/>
      <c r="F5" s="46" t="n"/>
      <c r="G5" s="46" t="n"/>
      <c r="K5" s="42" t="inlineStr">
        <is>
          <t>BGE + LlamaIndex chunk</t>
        </is>
      </c>
      <c r="L5" s="48" t="n">
        <v>62</v>
      </c>
      <c r="M5" s="44" t="n">
        <v>48.47</v>
      </c>
      <c r="N5" s="48" t="inlineStr">
        <is>
          <t>62 ⭐</t>
        </is>
      </c>
      <c r="O5" s="48" t="inlineStr">
        <is>
          <t>46.80 ⭐</t>
        </is>
      </c>
    </row>
    <row r="6">
      <c r="E6" s="34" t="n"/>
      <c r="K6" s="42" t="inlineStr">
        <is>
          <t>BGE + LlamaIndex + QE3</t>
        </is>
      </c>
      <c r="L6" s="48" t="inlineStr">
        <is>
          <t>74 ⭐</t>
        </is>
      </c>
      <c r="M6" s="48" t="inlineStr">
        <is>
          <t>55.79 ⭐</t>
        </is>
      </c>
      <c r="N6" s="44" t="n">
        <v>61</v>
      </c>
      <c r="O6" s="44" t="n">
        <v>46.23</v>
      </c>
    </row>
    <row r="7">
      <c r="E7" s="34" t="n"/>
      <c r="K7" s="42" t="inlineStr">
        <is>
          <t>Paper claim</t>
        </is>
      </c>
      <c r="L7" s="44" t="n">
        <v>87</v>
      </c>
      <c r="M7" s="44" t="n">
        <v>71</v>
      </c>
      <c r="N7" s="44" t="n">
        <v>73</v>
      </c>
      <c r="O7" s="44" t="inlineStr">
        <is>
          <t>—</t>
        </is>
      </c>
    </row>
    <row r="8">
      <c r="E8" s="34" t="n"/>
    </row>
    <row r="9">
      <c r="E9" s="34" t="n"/>
    </row>
    <row r="10">
      <c r="E10" s="34" t="n"/>
    </row>
    <row r="11">
      <c r="E11" s="34" t="n"/>
    </row>
    <row r="12">
      <c r="E12" s="34" t="n"/>
    </row>
    <row r="13">
      <c r="E13" s="34" t="n"/>
    </row>
    <row r="14">
      <c r="E14" s="34" t="n"/>
    </row>
    <row r="15">
      <c r="E15" s="34" t="n"/>
    </row>
    <row r="16">
      <c r="E16" s="34" t="n"/>
    </row>
    <row r="17">
      <c r="E17" s="34" t="n"/>
    </row>
    <row r="18">
      <c r="E18" s="34" t="n"/>
    </row>
    <row r="19">
      <c r="E19" s="34" t="n"/>
    </row>
    <row r="20">
      <c r="E20" s="34" t="n"/>
    </row>
    <row r="21">
      <c r="E21" s="34" t="n"/>
    </row>
    <row r="22">
      <c r="E22" s="34" t="n"/>
    </row>
    <row r="23">
      <c r="E23" s="34" t="n"/>
    </row>
    <row r="24">
      <c r="E24" s="34" t="n"/>
    </row>
    <row r="25">
      <c r="E25" s="34" t="n"/>
    </row>
    <row r="26">
      <c r="E26" s="34" t="n"/>
    </row>
    <row r="27">
      <c r="E27" s="34" t="n"/>
    </row>
    <row r="28">
      <c r="E28" s="34" t="n"/>
    </row>
    <row r="29">
      <c r="E29" s="34" t="n"/>
    </row>
    <row r="30">
      <c r="E30" s="34" t="n"/>
    </row>
    <row r="31">
      <c r="E31" s="34" t="n"/>
    </row>
    <row r="32">
      <c r="E32" s="34" t="n"/>
    </row>
    <row r="33">
      <c r="E33" s="34" t="n"/>
    </row>
    <row r="34">
      <c r="E34" s="34" t="n"/>
    </row>
    <row r="35">
      <c r="E35" s="34" t="n"/>
    </row>
    <row r="36">
      <c r="E36" s="34" t="n"/>
    </row>
    <row r="37">
      <c r="E37" s="34" t="n"/>
    </row>
    <row r="38">
      <c r="E38" s="34" t="n"/>
    </row>
    <row r="39">
      <c r="E39" s="34" t="n"/>
    </row>
    <row r="40">
      <c r="E40" s="34" t="n"/>
    </row>
    <row r="41">
      <c r="E41" s="34" t="n"/>
    </row>
    <row r="42">
      <c r="E42" s="34" t="n"/>
    </row>
    <row r="43">
      <c r="E43" s="34" t="n"/>
    </row>
    <row r="44">
      <c r="E44" s="34" t="n"/>
    </row>
    <row r="45">
      <c r="E45" s="34" t="n"/>
    </row>
    <row r="46">
      <c r="E46" s="34" t="n"/>
    </row>
    <row r="47">
      <c r="E47" s="34" t="n"/>
    </row>
    <row r="48">
      <c r="E48" s="34" t="n"/>
    </row>
    <row r="49">
      <c r="E49" s="34" t="n"/>
    </row>
    <row r="50">
      <c r="E50" s="34" t="n"/>
    </row>
    <row r="51">
      <c r="E51" s="34" t="n"/>
    </row>
    <row r="52">
      <c r="E52" s="34" t="n"/>
    </row>
    <row r="53">
      <c r="E53" s="34" t="n"/>
    </row>
    <row r="54">
      <c r="E54" s="34" t="n"/>
    </row>
    <row r="55">
      <c r="E55" s="34" t="n"/>
    </row>
    <row r="56">
      <c r="E56" s="34" t="n"/>
    </row>
    <row r="57">
      <c r="E57" s="34" t="n"/>
    </row>
    <row r="58">
      <c r="E58" s="34" t="n"/>
    </row>
    <row r="59">
      <c r="E59" s="34" t="n"/>
    </row>
    <row r="60">
      <c r="E60" s="34" t="n"/>
    </row>
    <row r="61">
      <c r="E61" s="34" t="n"/>
    </row>
    <row r="62">
      <c r="E62" s="34" t="n"/>
    </row>
    <row r="63">
      <c r="E63" s="34" t="n"/>
    </row>
    <row r="64">
      <c r="E64" s="34" t="n"/>
    </row>
    <row r="65">
      <c r="E65" s="34" t="n"/>
    </row>
    <row r="66">
      <c r="E66" s="34" t="n"/>
    </row>
    <row r="67">
      <c r="E67" s="34" t="n"/>
    </row>
    <row r="68">
      <c r="E68" s="34" t="n"/>
    </row>
    <row r="69">
      <c r="E69" s="34" t="n"/>
    </row>
    <row r="70">
      <c r="E70" s="34" t="n"/>
    </row>
    <row r="71">
      <c r="E71" s="34" t="n"/>
    </row>
    <row r="72">
      <c r="E72" s="34" t="n"/>
    </row>
    <row r="73">
      <c r="E73" s="34" t="n"/>
    </row>
    <row r="74">
      <c r="E74" s="34" t="n"/>
    </row>
    <row r="75">
      <c r="E75" s="34" t="n"/>
    </row>
    <row r="76">
      <c r="E76" s="34" t="n"/>
    </row>
    <row r="77">
      <c r="E77" s="34" t="n"/>
    </row>
    <row r="78">
      <c r="E78" s="34" t="n"/>
    </row>
    <row r="79">
      <c r="E79" s="34" t="n"/>
    </row>
    <row r="80">
      <c r="E80" s="34" t="n"/>
    </row>
    <row r="81">
      <c r="E81" s="34" t="n"/>
    </row>
    <row r="82">
      <c r="E82" s="34" t="n"/>
    </row>
    <row r="83">
      <c r="E83" s="34" t="n"/>
    </row>
    <row r="84">
      <c r="E84" s="34" t="n"/>
    </row>
    <row r="85">
      <c r="E85" s="34" t="n"/>
    </row>
    <row r="86">
      <c r="E86" s="34" t="n"/>
    </row>
    <row r="87">
      <c r="E87" s="34" t="n"/>
    </row>
    <row r="88">
      <c r="E88" s="34" t="n"/>
    </row>
    <row r="89">
      <c r="E89" s="34" t="n"/>
    </row>
    <row r="90">
      <c r="E90" s="34" t="n"/>
    </row>
    <row r="91">
      <c r="E91" s="34" t="n"/>
    </row>
    <row r="92">
      <c r="E92" s="34" t="n"/>
    </row>
    <row r="93">
      <c r="E93" s="34" t="n"/>
    </row>
    <row r="94">
      <c r="E94" s="34" t="n"/>
    </row>
    <row r="95">
      <c r="E95" s="34" t="n"/>
    </row>
    <row r="96">
      <c r="E96" s="34" t="n"/>
    </row>
    <row r="97">
      <c r="E97" s="34" t="n"/>
    </row>
    <row r="98">
      <c r="E98" s="34" t="n"/>
    </row>
    <row r="99">
      <c r="E99" s="34" t="n"/>
    </row>
    <row r="100">
      <c r="E100" s="34" t="n"/>
    </row>
    <row r="101">
      <c r="E101" s="34" t="n"/>
    </row>
    <row r="102">
      <c r="E102" s="34" t="n"/>
    </row>
    <row r="103">
      <c r="E103" s="34" t="n"/>
    </row>
    <row r="104">
      <c r="E104" s="34" t="n"/>
    </row>
    <row r="105">
      <c r="E105" s="34" t="n"/>
    </row>
    <row r="106">
      <c r="E106" s="34" t="n"/>
    </row>
    <row r="107">
      <c r="E107" s="34" t="n"/>
    </row>
    <row r="108">
      <c r="E108" s="34" t="n"/>
    </row>
    <row r="109">
      <c r="E109" s="34" t="n"/>
    </row>
    <row r="110">
      <c r="E110" s="34" t="n"/>
    </row>
    <row r="111">
      <c r="E111" s="34" t="n"/>
    </row>
    <row r="112">
      <c r="E112" s="34" t="n"/>
    </row>
    <row r="113">
      <c r="E113" s="34" t="n"/>
    </row>
    <row r="114">
      <c r="E114" s="34" t="n"/>
    </row>
    <row r="115">
      <c r="E115" s="34" t="n"/>
    </row>
    <row r="116">
      <c r="E116" s="34" t="n"/>
    </row>
    <row r="117">
      <c r="E117" s="34" t="n"/>
    </row>
    <row r="118">
      <c r="E118" s="34" t="n"/>
    </row>
    <row r="119">
      <c r="E119" s="34" t="n"/>
    </row>
    <row r="120">
      <c r="E120" s="34" t="n"/>
    </row>
    <row r="121">
      <c r="E121" s="34" t="n"/>
    </row>
    <row r="122">
      <c r="E122" s="34" t="n"/>
    </row>
    <row r="123">
      <c r="E123" s="34" t="n"/>
    </row>
    <row r="124">
      <c r="E124" s="34" t="n"/>
    </row>
    <row r="125">
      <c r="E125" s="34" t="n"/>
    </row>
    <row r="126">
      <c r="E126" s="34" t="n"/>
    </row>
    <row r="127">
      <c r="E127" s="34" t="n"/>
    </row>
    <row r="128">
      <c r="E128" s="34" t="n"/>
    </row>
    <row r="129">
      <c r="E129" s="34" t="n"/>
    </row>
    <row r="130">
      <c r="E130" s="34" t="n"/>
    </row>
    <row r="131">
      <c r="E131" s="34" t="n"/>
    </row>
    <row r="132">
      <c r="E132" s="34" t="n"/>
    </row>
    <row r="133">
      <c r="E133" s="34" t="n"/>
    </row>
    <row r="134">
      <c r="E134" s="34" t="n"/>
    </row>
    <row r="135">
      <c r="E135" s="34" t="n"/>
    </row>
    <row r="136">
      <c r="E136" s="34" t="n"/>
    </row>
    <row r="137">
      <c r="E137" s="34" t="n"/>
    </row>
    <row r="138">
      <c r="E138" s="34" t="n"/>
    </row>
    <row r="139">
      <c r="E139" s="34" t="n"/>
    </row>
    <row r="140">
      <c r="E140" s="34" t="n"/>
    </row>
    <row r="141">
      <c r="E141" s="34" t="n"/>
    </row>
    <row r="142">
      <c r="E142" s="34" t="n"/>
    </row>
    <row r="143">
      <c r="E143" s="34" t="n"/>
    </row>
    <row r="144">
      <c r="E144" s="34" t="n"/>
    </row>
    <row r="145">
      <c r="E145" s="34" t="n"/>
    </row>
    <row r="146">
      <c r="E146" s="34" t="n"/>
    </row>
    <row r="147">
      <c r="E147" s="34" t="n"/>
    </row>
    <row r="148">
      <c r="E148" s="34" t="n"/>
    </row>
    <row r="149">
      <c r="E149" s="34" t="n"/>
    </row>
    <row r="150">
      <c r="E150" s="34" t="n"/>
    </row>
    <row r="151">
      <c r="E151" s="34" t="n"/>
    </row>
    <row r="152">
      <c r="E152" s="34" t="n"/>
    </row>
    <row r="153">
      <c r="E153" s="34" t="n"/>
    </row>
    <row r="154">
      <c r="E154" s="34" t="n"/>
    </row>
    <row r="155">
      <c r="E155" s="34" t="n"/>
    </row>
    <row r="156">
      <c r="E156" s="34" t="n"/>
    </row>
    <row r="157">
      <c r="E157" s="34" t="n"/>
    </row>
    <row r="158">
      <c r="E158" s="34" t="n"/>
    </row>
    <row r="159">
      <c r="E159" s="34" t="n"/>
    </row>
    <row r="160">
      <c r="E160" s="34" t="n"/>
    </row>
    <row r="161">
      <c r="E161" s="34" t="n"/>
    </row>
    <row r="162">
      <c r="E162" s="34" t="n"/>
    </row>
    <row r="163">
      <c r="E163" s="34" t="n"/>
    </row>
    <row r="164">
      <c r="E164" s="34" t="n"/>
    </row>
    <row r="165">
      <c r="E165" s="34" t="n"/>
    </row>
    <row r="166">
      <c r="E166" s="34" t="n"/>
    </row>
    <row r="167">
      <c r="E167" s="34" t="n"/>
    </row>
    <row r="168">
      <c r="E168" s="34" t="n"/>
    </row>
    <row r="169">
      <c r="E169" s="34" t="n"/>
    </row>
    <row r="170">
      <c r="E170" s="34" t="n"/>
    </row>
    <row r="171">
      <c r="E171" s="34" t="n"/>
    </row>
    <row r="172">
      <c r="E172" s="34" t="n"/>
    </row>
    <row r="173">
      <c r="E173" s="34" t="n"/>
    </row>
    <row r="174">
      <c r="E174" s="34" t="n"/>
    </row>
    <row r="175">
      <c r="E175" s="34" t="n"/>
    </row>
    <row r="176">
      <c r="E176" s="34" t="n"/>
    </row>
    <row r="177">
      <c r="E177" s="34" t="n"/>
    </row>
    <row r="178">
      <c r="E178" s="34" t="n"/>
    </row>
    <row r="179">
      <c r="E179" s="34" t="n"/>
    </row>
    <row r="180">
      <c r="E180" s="34" t="n"/>
    </row>
    <row r="181">
      <c r="E181" s="34" t="n"/>
    </row>
    <row r="182">
      <c r="E182" s="34" t="n"/>
    </row>
    <row r="183">
      <c r="E183" s="34" t="n"/>
    </row>
    <row r="184">
      <c r="E184" s="34" t="n"/>
    </row>
    <row r="185">
      <c r="E185" s="34" t="n"/>
    </row>
    <row r="186">
      <c r="E186" s="34" t="n"/>
    </row>
    <row r="187">
      <c r="E187" s="34" t="n"/>
    </row>
    <row r="188">
      <c r="E188" s="34" t="n"/>
    </row>
    <row r="189">
      <c r="E189" s="34" t="n"/>
    </row>
    <row r="190">
      <c r="E190" s="34" t="n"/>
    </row>
    <row r="191">
      <c r="E191" s="34" t="n"/>
    </row>
    <row r="192">
      <c r="E192" s="34" t="n"/>
    </row>
    <row r="193">
      <c r="E193" s="34" t="n"/>
    </row>
    <row r="194">
      <c r="E194" s="34" t="n"/>
    </row>
    <row r="195">
      <c r="E195" s="34" t="n"/>
    </row>
    <row r="196">
      <c r="E196" s="34" t="n"/>
    </row>
    <row r="197">
      <c r="E197" s="34" t="n"/>
    </row>
    <row r="198">
      <c r="E198" s="34" t="n"/>
    </row>
    <row r="199">
      <c r="E199" s="34" t="n"/>
    </row>
    <row r="200">
      <c r="E200" s="34" t="n"/>
    </row>
    <row r="201">
      <c r="E201" s="34" t="n"/>
    </row>
    <row r="202">
      <c r="E202" s="34" t="n"/>
    </row>
    <row r="203">
      <c r="E203" s="34" t="n"/>
    </row>
    <row r="204">
      <c r="E204" s="34" t="n"/>
    </row>
    <row r="205">
      <c r="E205" s="34" t="n"/>
    </row>
    <row r="206">
      <c r="E206" s="34" t="n"/>
    </row>
    <row r="207">
      <c r="E207" s="34" t="n"/>
    </row>
    <row r="208">
      <c r="E208" s="34" t="n"/>
    </row>
    <row r="209">
      <c r="E209" s="34" t="n"/>
    </row>
    <row r="210">
      <c r="E210" s="34" t="n"/>
    </row>
    <row r="211">
      <c r="E211" s="34" t="n"/>
    </row>
    <row r="212">
      <c r="E212" s="34" t="n"/>
    </row>
    <row r="213">
      <c r="E213" s="34" t="n"/>
    </row>
    <row r="214">
      <c r="E214" s="34" t="n"/>
    </row>
    <row r="215">
      <c r="E215" s="34" t="n"/>
    </row>
    <row r="216">
      <c r="E216" s="34" t="n"/>
    </row>
    <row r="217">
      <c r="E217" s="34" t="n"/>
    </row>
    <row r="218">
      <c r="E218" s="34" t="n"/>
    </row>
    <row r="219">
      <c r="E219" s="34" t="n"/>
    </row>
    <row r="220">
      <c r="E220" s="34" t="n"/>
    </row>
    <row r="221">
      <c r="E221" s="34" t="n"/>
    </row>
    <row r="222">
      <c r="E222" s="34" t="n"/>
    </row>
    <row r="223">
      <c r="E223" s="34" t="n"/>
    </row>
    <row r="224">
      <c r="E224" s="34" t="n"/>
    </row>
    <row r="225">
      <c r="E225" s="34" t="n"/>
    </row>
    <row r="226">
      <c r="E226" s="34" t="n"/>
    </row>
    <row r="227">
      <c r="E227" s="34" t="n"/>
    </row>
    <row r="228">
      <c r="E228" s="34" t="n"/>
    </row>
    <row r="229">
      <c r="E229" s="34" t="n"/>
    </row>
    <row r="230">
      <c r="E230" s="34" t="n"/>
    </row>
    <row r="231">
      <c r="E231" s="34" t="n"/>
    </row>
    <row r="232">
      <c r="E232" s="34" t="n"/>
    </row>
    <row r="233">
      <c r="E233" s="34" t="n"/>
    </row>
    <row r="234">
      <c r="E234" s="34" t="n"/>
    </row>
    <row r="235">
      <c r="E235" s="34" t="n"/>
    </row>
    <row r="236">
      <c r="E236" s="34" t="n"/>
    </row>
    <row r="237">
      <c r="E237" s="34" t="n"/>
    </row>
    <row r="238">
      <c r="E238" s="34" t="n"/>
    </row>
    <row r="239">
      <c r="E239" s="34" t="n"/>
    </row>
    <row r="240">
      <c r="E240" s="34" t="n"/>
    </row>
    <row r="241">
      <c r="E241" s="34" t="n"/>
    </row>
    <row r="242">
      <c r="E242" s="34" t="n"/>
    </row>
    <row r="243">
      <c r="E243" s="34" t="n"/>
    </row>
    <row r="244">
      <c r="E244" s="34" t="n"/>
    </row>
    <row r="245">
      <c r="E245" s="34" t="n"/>
    </row>
    <row r="246">
      <c r="E246" s="34" t="n"/>
    </row>
    <row r="247">
      <c r="E247" s="34" t="n"/>
    </row>
    <row r="248">
      <c r="E248" s="34" t="n"/>
    </row>
    <row r="249">
      <c r="E249" s="34" t="n"/>
    </row>
    <row r="250">
      <c r="E250" s="34" t="n"/>
    </row>
    <row r="251">
      <c r="E251" s="34" t="n"/>
    </row>
    <row r="252">
      <c r="E252" s="34" t="n"/>
    </row>
    <row r="253">
      <c r="E253" s="34" t="n"/>
    </row>
    <row r="254">
      <c r="E254" s="34" t="n"/>
    </row>
    <row r="255">
      <c r="E255" s="34" t="n"/>
    </row>
    <row r="256">
      <c r="E256" s="34" t="n"/>
    </row>
    <row r="257">
      <c r="E257" s="34" t="n"/>
    </row>
    <row r="258">
      <c r="E258" s="34" t="n"/>
    </row>
    <row r="259">
      <c r="E259" s="34" t="n"/>
    </row>
    <row r="260">
      <c r="E260" s="34" t="n"/>
    </row>
    <row r="261">
      <c r="E261" s="34" t="n"/>
    </row>
    <row r="262">
      <c r="E262" s="34" t="n"/>
    </row>
    <row r="263">
      <c r="E263" s="34" t="n"/>
    </row>
    <row r="264">
      <c r="E264" s="34" t="n"/>
    </row>
    <row r="265">
      <c r="E265" s="34" t="n"/>
    </row>
    <row r="266">
      <c r="E266" s="34" t="n"/>
    </row>
    <row r="267">
      <c r="E267" s="34" t="n"/>
    </row>
    <row r="268">
      <c r="E268" s="34" t="n"/>
    </row>
    <row r="269">
      <c r="E269" s="34" t="n"/>
    </row>
    <row r="270">
      <c r="E270" s="34" t="n"/>
    </row>
    <row r="271">
      <c r="E271" s="34" t="n"/>
    </row>
    <row r="272">
      <c r="E272" s="34" t="n"/>
    </row>
    <row r="273">
      <c r="E273" s="34" t="n"/>
    </row>
    <row r="274">
      <c r="E274" s="34" t="n"/>
    </row>
    <row r="275">
      <c r="E275" s="34" t="n"/>
    </row>
    <row r="276">
      <c r="E276" s="34" t="n"/>
    </row>
    <row r="277">
      <c r="E277" s="34" t="n"/>
    </row>
    <row r="278">
      <c r="E278" s="34" t="n"/>
    </row>
    <row r="279">
      <c r="E279" s="34" t="n"/>
    </row>
    <row r="280">
      <c r="E280" s="34" t="n"/>
    </row>
    <row r="281">
      <c r="E281" s="34" t="n"/>
    </row>
    <row r="282">
      <c r="E282" s="34" t="n"/>
    </row>
    <row r="283">
      <c r="E283" s="34" t="n"/>
    </row>
    <row r="284">
      <c r="E284" s="34" t="n"/>
    </row>
    <row r="285">
      <c r="E285" s="34" t="n"/>
    </row>
    <row r="286">
      <c r="E286" s="34" t="n"/>
    </row>
    <row r="287">
      <c r="E287" s="34" t="n"/>
    </row>
    <row r="288">
      <c r="E288" s="34" t="n"/>
    </row>
    <row r="289">
      <c r="E289" s="34" t="n"/>
    </row>
    <row r="290">
      <c r="E290" s="34" t="n"/>
    </row>
    <row r="291">
      <c r="E291" s="34" t="n"/>
    </row>
    <row r="292">
      <c r="E292" s="34" t="n"/>
    </row>
    <row r="293">
      <c r="E293" s="34" t="n"/>
    </row>
    <row r="294">
      <c r="E294" s="34" t="n"/>
    </row>
    <row r="295">
      <c r="E295" s="34" t="n"/>
    </row>
    <row r="296">
      <c r="E296" s="34" t="n"/>
    </row>
    <row r="297">
      <c r="E297" s="34" t="n"/>
    </row>
    <row r="298">
      <c r="E298" s="34" t="n"/>
    </row>
    <row r="299">
      <c r="E299" s="34" t="n"/>
    </row>
    <row r="300">
      <c r="E300" s="34" t="n"/>
    </row>
    <row r="301">
      <c r="E301" s="34" t="n"/>
    </row>
    <row r="302">
      <c r="E302" s="34" t="n"/>
    </row>
    <row r="303">
      <c r="E303" s="34" t="n"/>
    </row>
    <row r="304">
      <c r="E304" s="34" t="n"/>
    </row>
    <row r="305">
      <c r="E305" s="34" t="n"/>
    </row>
    <row r="306">
      <c r="E306" s="34" t="n"/>
    </row>
    <row r="307">
      <c r="E307" s="34" t="n"/>
    </row>
    <row r="308">
      <c r="E308" s="34" t="n"/>
    </row>
    <row r="309">
      <c r="E309" s="34" t="n"/>
    </row>
    <row r="310">
      <c r="E310" s="34" t="n"/>
    </row>
    <row r="311">
      <c r="E311" s="34" t="n"/>
    </row>
    <row r="312">
      <c r="E312" s="34" t="n"/>
    </row>
    <row r="313">
      <c r="E313" s="34" t="n"/>
    </row>
    <row r="314">
      <c r="E314" s="34" t="n"/>
    </row>
    <row r="315">
      <c r="E315" s="34" t="n"/>
    </row>
    <row r="316">
      <c r="E316" s="34" t="n"/>
    </row>
    <row r="317">
      <c r="E317" s="34" t="n"/>
    </row>
    <row r="318">
      <c r="E318" s="34" t="n"/>
    </row>
    <row r="319">
      <c r="E319" s="34" t="n"/>
    </row>
    <row r="320">
      <c r="E320" s="34" t="n"/>
    </row>
    <row r="321">
      <c r="E321" s="34" t="n"/>
    </row>
    <row r="322">
      <c r="E322" s="34" t="n"/>
    </row>
    <row r="323">
      <c r="E323" s="34" t="n"/>
    </row>
    <row r="324">
      <c r="E324" s="34" t="n"/>
    </row>
    <row r="325">
      <c r="E325" s="34" t="n"/>
    </row>
    <row r="326">
      <c r="E326" s="34" t="n"/>
    </row>
    <row r="327">
      <c r="E327" s="34" t="n"/>
    </row>
    <row r="328">
      <c r="E328" s="34" t="n"/>
    </row>
    <row r="329">
      <c r="E329" s="34" t="n"/>
    </row>
    <row r="330">
      <c r="E330" s="34" t="n"/>
    </row>
    <row r="331">
      <c r="E331" s="34" t="n"/>
    </row>
    <row r="332">
      <c r="E332" s="34" t="n"/>
    </row>
    <row r="333">
      <c r="E333" s="34" t="n"/>
    </row>
    <row r="334">
      <c r="E334" s="34" t="n"/>
    </row>
    <row r="335">
      <c r="E335" s="34" t="n"/>
    </row>
    <row r="336">
      <c r="E336" s="34" t="n"/>
    </row>
    <row r="337">
      <c r="E337" s="34" t="n"/>
    </row>
    <row r="338">
      <c r="E338" s="34" t="n"/>
    </row>
    <row r="339">
      <c r="E339" s="34" t="n"/>
    </row>
    <row r="340">
      <c r="E340" s="34" t="n"/>
    </row>
    <row r="341">
      <c r="E341" s="34" t="n"/>
    </row>
    <row r="342">
      <c r="E342" s="34" t="n"/>
    </row>
    <row r="343">
      <c r="E343" s="34" t="n"/>
    </row>
    <row r="344">
      <c r="E344" s="34" t="n"/>
    </row>
    <row r="345">
      <c r="E345" s="34" t="n"/>
    </row>
    <row r="346">
      <c r="E346" s="34" t="n"/>
    </row>
    <row r="347">
      <c r="E347" s="34" t="n"/>
    </row>
    <row r="348">
      <c r="E348" s="34" t="n"/>
    </row>
    <row r="349">
      <c r="E349" s="34" t="n"/>
    </row>
    <row r="350">
      <c r="E350" s="34" t="n"/>
    </row>
    <row r="351">
      <c r="E351" s="34" t="n"/>
    </row>
    <row r="352">
      <c r="E352" s="34" t="n"/>
    </row>
    <row r="353">
      <c r="E353" s="34" t="n"/>
    </row>
    <row r="354">
      <c r="E354" s="34" t="n"/>
    </row>
    <row r="355">
      <c r="E355" s="34" t="n"/>
    </row>
    <row r="356">
      <c r="E356" s="34" t="n"/>
    </row>
    <row r="357">
      <c r="E357" s="34" t="n"/>
    </row>
    <row r="358">
      <c r="E358" s="34" t="n"/>
    </row>
    <row r="359">
      <c r="E359" s="34" t="n"/>
    </row>
    <row r="360">
      <c r="E360" s="34" t="n"/>
    </row>
    <row r="361">
      <c r="E361" s="34" t="n"/>
    </row>
    <row r="362">
      <c r="E362" s="34" t="n"/>
    </row>
    <row r="363">
      <c r="E363" s="34" t="n"/>
    </row>
    <row r="364">
      <c r="E364" s="34" t="n"/>
    </row>
    <row r="365">
      <c r="E365" s="34" t="n"/>
    </row>
    <row r="366">
      <c r="E366" s="34" t="n"/>
    </row>
    <row r="367">
      <c r="E367" s="34" t="n"/>
    </row>
    <row r="368">
      <c r="E368" s="34" t="n"/>
    </row>
    <row r="369">
      <c r="E369" s="34" t="n"/>
    </row>
    <row r="370">
      <c r="E370" s="34" t="n"/>
    </row>
    <row r="371">
      <c r="E371" s="34" t="n"/>
    </row>
    <row r="372">
      <c r="E372" s="34" t="n"/>
    </row>
    <row r="373">
      <c r="E373" s="34" t="n"/>
    </row>
    <row r="374">
      <c r="E374" s="34" t="n"/>
    </row>
    <row r="375">
      <c r="E375" s="34" t="n"/>
    </row>
    <row r="376">
      <c r="E376" s="34" t="n"/>
    </row>
    <row r="377">
      <c r="E377" s="34" t="n"/>
    </row>
    <row r="378">
      <c r="E378" s="34" t="n"/>
    </row>
    <row r="379">
      <c r="E379" s="34" t="n"/>
    </row>
    <row r="380">
      <c r="E380" s="34" t="n"/>
    </row>
    <row r="381">
      <c r="E381" s="34" t="n"/>
    </row>
    <row r="382">
      <c r="E382" s="34" t="n"/>
    </row>
    <row r="383">
      <c r="E383" s="34" t="n"/>
    </row>
    <row r="384">
      <c r="E384" s="34" t="n"/>
    </row>
    <row r="385">
      <c r="E385" s="34" t="n"/>
    </row>
    <row r="386">
      <c r="E386" s="34" t="n"/>
    </row>
    <row r="387">
      <c r="E387" s="34" t="n"/>
    </row>
    <row r="388">
      <c r="E388" s="34" t="n"/>
    </row>
    <row r="389">
      <c r="E389" s="34" t="n"/>
    </row>
    <row r="390">
      <c r="E390" s="34" t="n"/>
    </row>
    <row r="391">
      <c r="E391" s="34" t="n"/>
    </row>
    <row r="392">
      <c r="E392" s="34" t="n"/>
    </row>
    <row r="393">
      <c r="E393" s="34" t="n"/>
    </row>
    <row r="394">
      <c r="E394" s="34" t="n"/>
    </row>
    <row r="395">
      <c r="E395" s="34" t="n"/>
    </row>
    <row r="396">
      <c r="E396" s="34" t="n"/>
    </row>
    <row r="397">
      <c r="E397" s="34" t="n"/>
    </row>
    <row r="398">
      <c r="E398" s="34" t="n"/>
    </row>
    <row r="399">
      <c r="E399" s="34" t="n"/>
    </row>
    <row r="400">
      <c r="E400" s="34" t="n"/>
    </row>
    <row r="401">
      <c r="E401" s="34" t="n"/>
    </row>
    <row r="402">
      <c r="E402" s="34" t="n"/>
    </row>
    <row r="403">
      <c r="E403" s="34" t="n"/>
    </row>
    <row r="404">
      <c r="E404" s="34" t="n"/>
    </row>
    <row r="405">
      <c r="E405" s="34" t="n"/>
    </row>
    <row r="406">
      <c r="E406" s="34" t="n"/>
    </row>
    <row r="407">
      <c r="E407" s="34" t="n"/>
    </row>
    <row r="408">
      <c r="E408" s="34" t="n"/>
    </row>
    <row r="409">
      <c r="E409" s="34" t="n"/>
    </row>
    <row r="410">
      <c r="E410" s="34" t="n"/>
    </row>
    <row r="411">
      <c r="E411" s="34" t="n"/>
    </row>
    <row r="412">
      <c r="E412" s="34" t="n"/>
    </row>
    <row r="413">
      <c r="E413" s="34" t="n"/>
    </row>
    <row r="414">
      <c r="E414" s="34" t="n"/>
    </row>
    <row r="415">
      <c r="E415" s="34" t="n"/>
    </row>
    <row r="416">
      <c r="E416" s="34" t="n"/>
    </row>
    <row r="417">
      <c r="E417" s="34" t="n"/>
    </row>
    <row r="418">
      <c r="E418" s="34" t="n"/>
    </row>
    <row r="419">
      <c r="E419" s="34" t="n"/>
    </row>
    <row r="420">
      <c r="E420" s="34" t="n"/>
    </row>
    <row r="421">
      <c r="E421" s="34" t="n"/>
    </row>
    <row r="422">
      <c r="E422" s="34" t="n"/>
    </row>
    <row r="423">
      <c r="E423" s="34" t="n"/>
    </row>
    <row r="424">
      <c r="E424" s="34" t="n"/>
    </row>
    <row r="425">
      <c r="E425" s="34" t="n"/>
    </row>
    <row r="426">
      <c r="E426" s="34" t="n"/>
    </row>
    <row r="427">
      <c r="E427" s="34" t="n"/>
    </row>
    <row r="428">
      <c r="E428" s="34" t="n"/>
    </row>
    <row r="429">
      <c r="E429" s="34" t="n"/>
    </row>
    <row r="430">
      <c r="E430" s="34" t="n"/>
    </row>
    <row r="431">
      <c r="E431" s="34" t="n"/>
    </row>
    <row r="432">
      <c r="E432" s="34" t="n"/>
    </row>
    <row r="433">
      <c r="E433" s="34" t="n"/>
    </row>
    <row r="434">
      <c r="E434" s="34" t="n"/>
    </row>
    <row r="435">
      <c r="E435" s="34" t="n"/>
    </row>
    <row r="436">
      <c r="E436" s="34" t="n"/>
    </row>
    <row r="437">
      <c r="E437" s="34" t="n"/>
    </row>
    <row r="438">
      <c r="E438" s="34" t="n"/>
    </row>
    <row r="439">
      <c r="E439" s="34" t="n"/>
    </row>
    <row r="440">
      <c r="E440" s="34" t="n"/>
    </row>
    <row r="441">
      <c r="E441" s="34" t="n"/>
    </row>
    <row r="442">
      <c r="E442" s="34" t="n"/>
    </row>
    <row r="443">
      <c r="E443" s="34" t="n"/>
    </row>
    <row r="444">
      <c r="E444" s="34" t="n"/>
    </row>
    <row r="445">
      <c r="E445" s="34" t="n"/>
    </row>
    <row r="446">
      <c r="E446" s="34" t="n"/>
    </row>
    <row r="447">
      <c r="E447" s="34" t="n"/>
    </row>
    <row r="448">
      <c r="E448" s="34" t="n"/>
    </row>
    <row r="449">
      <c r="E449" s="34" t="n"/>
    </row>
    <row r="450">
      <c r="E450" s="34" t="n"/>
    </row>
    <row r="451">
      <c r="E451" s="34" t="n"/>
    </row>
    <row r="452">
      <c r="E452" s="34" t="n"/>
    </row>
    <row r="453">
      <c r="E453" s="34" t="n"/>
    </row>
    <row r="454">
      <c r="E454" s="34" t="n"/>
    </row>
    <row r="455">
      <c r="E455" s="34" t="n"/>
    </row>
    <row r="456">
      <c r="E456" s="34" t="n"/>
    </row>
    <row r="457">
      <c r="E457" s="34" t="n"/>
    </row>
    <row r="458">
      <c r="E458" s="34" t="n"/>
    </row>
    <row r="459">
      <c r="E459" s="34" t="n"/>
    </row>
    <row r="460">
      <c r="E460" s="34" t="n"/>
    </row>
    <row r="461">
      <c r="E461" s="34" t="n"/>
    </row>
    <row r="462">
      <c r="E462" s="34" t="n"/>
    </row>
    <row r="463">
      <c r="E463" s="34" t="n"/>
    </row>
    <row r="464">
      <c r="E464" s="34" t="n"/>
    </row>
    <row r="465">
      <c r="E465" s="34" t="n"/>
    </row>
    <row r="466">
      <c r="E466" s="34" t="n"/>
    </row>
    <row r="467">
      <c r="E467" s="34" t="n"/>
    </row>
    <row r="468">
      <c r="E468" s="34" t="n"/>
    </row>
    <row r="469">
      <c r="E469" s="34" t="n"/>
    </row>
    <row r="470">
      <c r="E470" s="34" t="n"/>
    </row>
    <row r="471">
      <c r="E471" s="34" t="n"/>
    </row>
    <row r="472">
      <c r="E472" s="34" t="n"/>
    </row>
    <row r="473">
      <c r="E473" s="34" t="n"/>
    </row>
    <row r="474">
      <c r="E474" s="34" t="n"/>
    </row>
    <row r="475">
      <c r="E475" s="34" t="n"/>
    </row>
    <row r="476">
      <c r="E476" s="34" t="n"/>
    </row>
    <row r="477">
      <c r="E477" s="34" t="n"/>
    </row>
    <row r="478">
      <c r="E478" s="34" t="n"/>
    </row>
    <row r="479">
      <c r="E479" s="34" t="n"/>
    </row>
    <row r="480">
      <c r="E480" s="34" t="n"/>
    </row>
    <row r="481">
      <c r="E481" s="34" t="n"/>
    </row>
    <row r="482">
      <c r="E482" s="34" t="n"/>
    </row>
    <row r="483">
      <c r="E483" s="34" t="n"/>
    </row>
    <row r="484">
      <c r="E484" s="34" t="n"/>
    </row>
    <row r="485">
      <c r="E485" s="34" t="n"/>
    </row>
    <row r="486">
      <c r="E486" s="34" t="n"/>
    </row>
    <row r="487">
      <c r="E487" s="34" t="n"/>
    </row>
    <row r="488">
      <c r="E488" s="34" t="n"/>
    </row>
    <row r="489">
      <c r="E489" s="34" t="n"/>
    </row>
    <row r="490">
      <c r="E490" s="34" t="n"/>
    </row>
    <row r="491">
      <c r="E491" s="34" t="n"/>
    </row>
    <row r="492">
      <c r="E492" s="34" t="n"/>
    </row>
    <row r="493">
      <c r="E493" s="34" t="n"/>
    </row>
    <row r="494">
      <c r="E494" s="34" t="n"/>
    </row>
    <row r="495">
      <c r="E495" s="34" t="n"/>
    </row>
    <row r="496">
      <c r="E496" s="34" t="n"/>
    </row>
    <row r="497">
      <c r="E497" s="34" t="n"/>
    </row>
    <row r="498">
      <c r="E498" s="34" t="n"/>
    </row>
    <row r="499">
      <c r="E499" s="34" t="n"/>
    </row>
    <row r="500">
      <c r="E500" s="34" t="n"/>
    </row>
    <row r="501">
      <c r="E501" s="34" t="n"/>
    </row>
    <row r="502">
      <c r="E502" s="34" t="n"/>
    </row>
    <row r="503">
      <c r="E503" s="34" t="n"/>
    </row>
    <row r="504">
      <c r="E504" s="34" t="n"/>
    </row>
    <row r="505">
      <c r="E505" s="34" t="n"/>
    </row>
    <row r="506">
      <c r="E506" s="34" t="n"/>
    </row>
    <row r="507">
      <c r="E507" s="34" t="n"/>
    </row>
    <row r="508">
      <c r="E508" s="34" t="n"/>
    </row>
    <row r="509">
      <c r="E509" s="34" t="n"/>
    </row>
    <row r="510">
      <c r="E510" s="34" t="n"/>
    </row>
    <row r="511">
      <c r="E511" s="34" t="n"/>
    </row>
    <row r="512">
      <c r="E512" s="34" t="n"/>
    </row>
    <row r="513">
      <c r="E513" s="34" t="n"/>
    </row>
    <row r="514">
      <c r="E514" s="34" t="n"/>
    </row>
    <row r="515">
      <c r="E515" s="34" t="n"/>
    </row>
    <row r="516">
      <c r="E516" s="34" t="n"/>
    </row>
    <row r="517">
      <c r="E517" s="34" t="n"/>
    </row>
    <row r="518">
      <c r="E518" s="34" t="n"/>
    </row>
    <row r="519">
      <c r="E519" s="34" t="n"/>
    </row>
    <row r="520">
      <c r="E520" s="34" t="n"/>
    </row>
    <row r="521">
      <c r="E521" s="34" t="n"/>
    </row>
    <row r="522">
      <c r="E522" s="34" t="n"/>
    </row>
    <row r="523">
      <c r="E523" s="34" t="n"/>
    </row>
    <row r="524">
      <c r="E524" s="34" t="n"/>
    </row>
    <row r="525">
      <c r="E525" s="34" t="n"/>
    </row>
    <row r="526">
      <c r="E526" s="34" t="n"/>
    </row>
    <row r="527">
      <c r="E527" s="34" t="n"/>
    </row>
    <row r="528">
      <c r="E528" s="34" t="n"/>
    </row>
    <row r="529">
      <c r="E529" s="34" t="n"/>
    </row>
    <row r="530">
      <c r="E530" s="34" t="n"/>
    </row>
    <row r="531">
      <c r="E531" s="34" t="n"/>
    </row>
    <row r="532">
      <c r="E532" s="34" t="n"/>
    </row>
    <row r="533">
      <c r="E533" s="34" t="n"/>
    </row>
    <row r="534">
      <c r="E534" s="34" t="n"/>
    </row>
    <row r="535">
      <c r="E535" s="34" t="n"/>
    </row>
    <row r="536">
      <c r="E536" s="34" t="n"/>
    </row>
    <row r="537">
      <c r="E537" s="34" t="n"/>
    </row>
    <row r="538">
      <c r="E538" s="34" t="n"/>
    </row>
    <row r="539">
      <c r="E539" s="34" t="n"/>
    </row>
    <row r="540">
      <c r="E540" s="34" t="n"/>
    </row>
    <row r="541">
      <c r="E541" s="34" t="n"/>
    </row>
    <row r="542">
      <c r="E542" s="34" t="n"/>
    </row>
    <row r="543">
      <c r="E543" s="34" t="n"/>
    </row>
    <row r="544">
      <c r="E544" s="34" t="n"/>
    </row>
    <row r="545">
      <c r="E545" s="34" t="n"/>
    </row>
    <row r="546">
      <c r="E546" s="34" t="n"/>
    </row>
    <row r="547">
      <c r="E547" s="34" t="n"/>
    </row>
    <row r="548">
      <c r="E548" s="34" t="n"/>
    </row>
    <row r="549">
      <c r="E549" s="34" t="n"/>
    </row>
    <row r="550">
      <c r="E550" s="34" t="n"/>
    </row>
    <row r="551">
      <c r="E551" s="34" t="n"/>
    </row>
    <row r="552">
      <c r="E552" s="34" t="n"/>
    </row>
    <row r="553">
      <c r="E553" s="34" t="n"/>
    </row>
    <row r="554">
      <c r="E554" s="34" t="n"/>
    </row>
    <row r="555">
      <c r="E555" s="34" t="n"/>
    </row>
    <row r="556">
      <c r="E556" s="34" t="n"/>
    </row>
    <row r="557">
      <c r="E557" s="34" t="n"/>
    </row>
    <row r="558">
      <c r="E558" s="34" t="n"/>
    </row>
    <row r="559">
      <c r="E559" s="34" t="n"/>
    </row>
    <row r="560">
      <c r="E560" s="34" t="n"/>
    </row>
    <row r="561">
      <c r="E561" s="34" t="n"/>
    </row>
    <row r="562">
      <c r="E562" s="34" t="n"/>
    </row>
    <row r="563">
      <c r="E563" s="34" t="n"/>
    </row>
    <row r="564">
      <c r="E564" s="34" t="n"/>
    </row>
    <row r="565">
      <c r="E565" s="34" t="n"/>
    </row>
    <row r="566">
      <c r="E566" s="34" t="n"/>
    </row>
    <row r="567">
      <c r="E567" s="34" t="n"/>
    </row>
    <row r="568">
      <c r="E568" s="34" t="n"/>
    </row>
    <row r="569">
      <c r="E569" s="34" t="n"/>
    </row>
    <row r="570">
      <c r="E570" s="34" t="n"/>
    </row>
    <row r="571">
      <c r="E571" s="34" t="n"/>
    </row>
    <row r="572">
      <c r="E572" s="34" t="n"/>
    </row>
    <row r="573">
      <c r="E573" s="34" t="n"/>
    </row>
    <row r="574">
      <c r="E574" s="34" t="n"/>
    </row>
    <row r="575">
      <c r="E575" s="34" t="n"/>
    </row>
    <row r="576">
      <c r="E576" s="34" t="n"/>
    </row>
    <row r="577">
      <c r="E577" s="34" t="n"/>
    </row>
    <row r="578">
      <c r="E578" s="34" t="n"/>
    </row>
    <row r="579">
      <c r="E579" s="34" t="n"/>
    </row>
    <row r="580">
      <c r="E580" s="34" t="n"/>
    </row>
    <row r="581">
      <c r="E581" s="34" t="n"/>
    </row>
    <row r="582">
      <c r="E582" s="34" t="n"/>
    </row>
    <row r="583">
      <c r="E583" s="34" t="n"/>
    </row>
    <row r="584">
      <c r="E584" s="34" t="n"/>
    </row>
    <row r="585">
      <c r="E585" s="34" t="n"/>
    </row>
    <row r="586">
      <c r="E586" s="34" t="n"/>
    </row>
    <row r="587">
      <c r="E587" s="34" t="n"/>
    </row>
    <row r="588">
      <c r="E588" s="34" t="n"/>
    </row>
    <row r="589">
      <c r="E589" s="34" t="n"/>
    </row>
    <row r="590">
      <c r="E590" s="34" t="n"/>
    </row>
    <row r="591">
      <c r="E591" s="34" t="n"/>
    </row>
    <row r="592">
      <c r="E592" s="34" t="n"/>
    </row>
    <row r="593">
      <c r="E593" s="34" t="n"/>
    </row>
    <row r="594">
      <c r="E594" s="34" t="n"/>
    </row>
    <row r="595">
      <c r="E595" s="34" t="n"/>
    </row>
    <row r="596">
      <c r="E596" s="34" t="n"/>
    </row>
    <row r="597">
      <c r="E597" s="34" t="n"/>
    </row>
    <row r="598">
      <c r="E598" s="34" t="n"/>
    </row>
    <row r="599">
      <c r="E599" s="34" t="n"/>
    </row>
    <row r="600">
      <c r="E600" s="34" t="n"/>
    </row>
    <row r="601">
      <c r="E601" s="34" t="n"/>
    </row>
    <row r="602">
      <c r="E602" s="34" t="n"/>
    </row>
    <row r="603">
      <c r="E603" s="34" t="n"/>
    </row>
    <row r="604">
      <c r="E604" s="34" t="n"/>
    </row>
    <row r="605">
      <c r="E605" s="34" t="n"/>
    </row>
    <row r="606">
      <c r="E606" s="34" t="n"/>
    </row>
    <row r="607">
      <c r="E607" s="34" t="n"/>
    </row>
    <row r="608">
      <c r="E608" s="34" t="n"/>
    </row>
    <row r="609">
      <c r="E609" s="34" t="n"/>
    </row>
    <row r="610">
      <c r="E610" s="34" t="n"/>
    </row>
    <row r="611">
      <c r="E611" s="34" t="n"/>
    </row>
    <row r="612">
      <c r="E612" s="34" t="n"/>
    </row>
    <row r="613">
      <c r="E613" s="34" t="n"/>
    </row>
    <row r="614">
      <c r="E614" s="34" t="n"/>
    </row>
    <row r="615">
      <c r="E615" s="34" t="n"/>
    </row>
    <row r="616">
      <c r="E616" s="34" t="n"/>
    </row>
    <row r="617">
      <c r="E617" s="34" t="n"/>
    </row>
    <row r="618">
      <c r="E618" s="34" t="n"/>
    </row>
    <row r="619">
      <c r="E619" s="34" t="n"/>
    </row>
    <row r="620">
      <c r="E620" s="34" t="n"/>
    </row>
    <row r="621">
      <c r="E621" s="34" t="n"/>
    </row>
    <row r="622">
      <c r="E622" s="34" t="n"/>
    </row>
    <row r="623">
      <c r="E623" s="34" t="n"/>
    </row>
    <row r="624">
      <c r="E624" s="34" t="n"/>
    </row>
    <row r="625">
      <c r="E625" s="34" t="n"/>
    </row>
    <row r="626">
      <c r="E626" s="34" t="n"/>
    </row>
    <row r="627">
      <c r="E627" s="34" t="n"/>
    </row>
    <row r="628">
      <c r="E628" s="34" t="n"/>
    </row>
    <row r="629">
      <c r="E629" s="34" t="n"/>
    </row>
    <row r="630">
      <c r="E630" s="34" t="n"/>
    </row>
    <row r="631">
      <c r="E631" s="34" t="n"/>
    </row>
    <row r="632">
      <c r="E632" s="34" t="n"/>
    </row>
    <row r="633">
      <c r="E633" s="34" t="n"/>
    </row>
    <row r="634">
      <c r="E634" s="34" t="n"/>
    </row>
    <row r="635">
      <c r="E635" s="34" t="n"/>
    </row>
    <row r="636">
      <c r="E636" s="34" t="n"/>
    </row>
    <row r="637">
      <c r="E637" s="34" t="n"/>
    </row>
    <row r="638">
      <c r="E638" s="34" t="n"/>
    </row>
    <row r="639">
      <c r="E639" s="34" t="n"/>
    </row>
    <row r="640">
      <c r="E640" s="34" t="n"/>
    </row>
    <row r="641">
      <c r="E641" s="34" t="n"/>
    </row>
    <row r="642">
      <c r="E642" s="34" t="n"/>
    </row>
    <row r="643">
      <c r="E643" s="34" t="n"/>
    </row>
    <row r="644">
      <c r="E644" s="34" t="n"/>
    </row>
    <row r="645">
      <c r="E645" s="34" t="n"/>
    </row>
    <row r="646">
      <c r="E646" s="34" t="n"/>
    </row>
    <row r="647">
      <c r="E647" s="34" t="n"/>
    </row>
    <row r="648">
      <c r="E648" s="34" t="n"/>
    </row>
    <row r="649">
      <c r="E649" s="34" t="n"/>
    </row>
    <row r="650">
      <c r="E650" s="34" t="n"/>
    </row>
    <row r="651">
      <c r="E651" s="34" t="n"/>
    </row>
    <row r="652">
      <c r="E652" s="34" t="n"/>
    </row>
    <row r="653">
      <c r="E653" s="34" t="n"/>
    </row>
    <row r="654">
      <c r="E654" s="34" t="n"/>
    </row>
    <row r="655">
      <c r="E655" s="34" t="n"/>
    </row>
    <row r="656">
      <c r="E656" s="34" t="n"/>
    </row>
    <row r="657">
      <c r="E657" s="34" t="n"/>
    </row>
    <row r="658">
      <c r="E658" s="34" t="n"/>
    </row>
    <row r="659">
      <c r="E659" s="34" t="n"/>
    </row>
    <row r="660">
      <c r="E660" s="34" t="n"/>
    </row>
    <row r="661">
      <c r="E661" s="34" t="n"/>
    </row>
    <row r="662">
      <c r="E662" s="34" t="n"/>
    </row>
    <row r="663">
      <c r="E663" s="34" t="n"/>
    </row>
    <row r="664">
      <c r="E664" s="34" t="n"/>
    </row>
    <row r="665">
      <c r="E665" s="34" t="n"/>
    </row>
    <row r="666">
      <c r="E666" s="34" t="n"/>
    </row>
    <row r="667">
      <c r="E667" s="34" t="n"/>
    </row>
    <row r="668">
      <c r="E668" s="34" t="n"/>
    </row>
    <row r="669">
      <c r="E669" s="34" t="n"/>
    </row>
    <row r="670">
      <c r="E670" s="34" t="n"/>
    </row>
    <row r="671">
      <c r="E671" s="34" t="n"/>
    </row>
    <row r="672">
      <c r="E672" s="34" t="n"/>
    </row>
    <row r="673">
      <c r="E673" s="34" t="n"/>
    </row>
    <row r="674">
      <c r="E674" s="34" t="n"/>
    </row>
    <row r="675">
      <c r="E675" s="34" t="n"/>
    </row>
    <row r="676">
      <c r="E676" s="34" t="n"/>
    </row>
    <row r="677">
      <c r="E677" s="34" t="n"/>
    </row>
    <row r="678">
      <c r="E678" s="34" t="n"/>
    </row>
    <row r="679">
      <c r="E679" s="34" t="n"/>
    </row>
    <row r="680">
      <c r="E680" s="34" t="n"/>
    </row>
    <row r="681">
      <c r="E681" s="34" t="n"/>
    </row>
    <row r="682">
      <c r="E682" s="34" t="n"/>
    </row>
    <row r="683">
      <c r="E683" s="34" t="n"/>
    </row>
    <row r="684">
      <c r="E684" s="34" t="n"/>
    </row>
    <row r="685">
      <c r="E685" s="34" t="n"/>
    </row>
    <row r="686">
      <c r="E686" s="34" t="n"/>
    </row>
    <row r="687">
      <c r="E687" s="34" t="n"/>
    </row>
    <row r="688">
      <c r="E688" s="34" t="n"/>
    </row>
    <row r="689">
      <c r="E689" s="34" t="n"/>
    </row>
    <row r="690">
      <c r="E690" s="34" t="n"/>
    </row>
    <row r="691">
      <c r="E691" s="34" t="n"/>
    </row>
    <row r="692">
      <c r="E692" s="34" t="n"/>
    </row>
    <row r="693">
      <c r="E693" s="34" t="n"/>
    </row>
    <row r="694">
      <c r="E694" s="34" t="n"/>
    </row>
    <row r="695">
      <c r="E695" s="34" t="n"/>
    </row>
    <row r="696">
      <c r="E696" s="34" t="n"/>
    </row>
    <row r="697">
      <c r="E697" s="34" t="n"/>
    </row>
    <row r="698">
      <c r="E698" s="34" t="n"/>
    </row>
    <row r="699">
      <c r="E699" s="34" t="n"/>
    </row>
    <row r="700">
      <c r="E700" s="34" t="n"/>
    </row>
    <row r="701">
      <c r="E701" s="34" t="n"/>
    </row>
    <row r="702">
      <c r="E702" s="34" t="n"/>
    </row>
    <row r="703">
      <c r="E703" s="34" t="n"/>
    </row>
    <row r="704">
      <c r="E704" s="34" t="n"/>
    </row>
    <row r="705">
      <c r="E705" s="34" t="n"/>
    </row>
    <row r="706">
      <c r="E706" s="34" t="n"/>
    </row>
    <row r="707">
      <c r="E707" s="34" t="n"/>
    </row>
    <row r="708">
      <c r="E708" s="34" t="n"/>
    </row>
    <row r="709">
      <c r="E709" s="34" t="n"/>
    </row>
    <row r="710">
      <c r="E710" s="34" t="n"/>
    </row>
    <row r="711">
      <c r="E711" s="34" t="n"/>
    </row>
    <row r="712">
      <c r="E712" s="34" t="n"/>
    </row>
    <row r="713">
      <c r="E713" s="34" t="n"/>
    </row>
    <row r="714">
      <c r="E714" s="34" t="n"/>
    </row>
    <row r="715">
      <c r="E715" s="34" t="n"/>
    </row>
    <row r="716">
      <c r="E716" s="34" t="n"/>
    </row>
    <row r="717">
      <c r="E717" s="34" t="n"/>
    </row>
    <row r="718">
      <c r="E718" s="34" t="n"/>
    </row>
    <row r="719">
      <c r="E719" s="34" t="n"/>
    </row>
    <row r="720">
      <c r="E720" s="34" t="n"/>
    </row>
    <row r="721">
      <c r="E721" s="34" t="n"/>
    </row>
    <row r="722">
      <c r="E722" s="34" t="n"/>
    </row>
    <row r="723">
      <c r="E723" s="34" t="n"/>
    </row>
    <row r="724">
      <c r="E724" s="34" t="n"/>
    </row>
    <row r="725">
      <c r="E725" s="34" t="n"/>
    </row>
    <row r="726">
      <c r="E726" s="34" t="n"/>
    </row>
    <row r="727">
      <c r="E727" s="34" t="n"/>
    </row>
    <row r="728">
      <c r="E728" s="34" t="n"/>
    </row>
    <row r="729">
      <c r="E729" s="34" t="n"/>
    </row>
    <row r="730">
      <c r="E730" s="34" t="n"/>
    </row>
    <row r="731">
      <c r="E731" s="34" t="n"/>
    </row>
    <row r="732">
      <c r="E732" s="34" t="n"/>
    </row>
    <row r="733">
      <c r="E733" s="34" t="n"/>
    </row>
    <row r="734">
      <c r="E734" s="34" t="n"/>
    </row>
    <row r="735">
      <c r="E735" s="34" t="n"/>
    </row>
    <row r="736">
      <c r="E736" s="34" t="n"/>
    </row>
    <row r="737">
      <c r="E737" s="34" t="n"/>
    </row>
    <row r="738">
      <c r="E738" s="34" t="n"/>
    </row>
    <row r="739">
      <c r="E739" s="34" t="n"/>
    </row>
    <row r="740">
      <c r="E740" s="34" t="n"/>
    </row>
    <row r="741">
      <c r="E741" s="34" t="n"/>
    </row>
    <row r="742">
      <c r="E742" s="34" t="n"/>
    </row>
    <row r="743">
      <c r="E743" s="34" t="n"/>
    </row>
    <row r="744">
      <c r="E744" s="34" t="n"/>
    </row>
    <row r="745">
      <c r="E745" s="34" t="n"/>
    </row>
    <row r="746">
      <c r="E746" s="34" t="n"/>
    </row>
    <row r="747">
      <c r="E747" s="34" t="n"/>
    </row>
    <row r="748">
      <c r="E748" s="34" t="n"/>
    </row>
    <row r="749">
      <c r="E749" s="34" t="n"/>
    </row>
    <row r="750">
      <c r="E750" s="34" t="n"/>
    </row>
    <row r="751">
      <c r="E751" s="34" t="n"/>
    </row>
    <row r="752">
      <c r="E752" s="34" t="n"/>
    </row>
    <row r="753">
      <c r="E753" s="34" t="n"/>
    </row>
    <row r="754">
      <c r="E754" s="34" t="n"/>
    </row>
    <row r="755">
      <c r="E755" s="34" t="n"/>
    </row>
    <row r="756">
      <c r="E756" s="34" t="n"/>
    </row>
    <row r="757">
      <c r="E757" s="34" t="n"/>
    </row>
    <row r="758">
      <c r="E758" s="34" t="n"/>
    </row>
    <row r="759">
      <c r="E759" s="34" t="n"/>
    </row>
    <row r="760">
      <c r="E760" s="34" t="n"/>
    </row>
    <row r="761">
      <c r="E761" s="34" t="n"/>
    </row>
    <row r="762">
      <c r="E762" s="34" t="n"/>
    </row>
    <row r="763">
      <c r="E763" s="34" t="n"/>
    </row>
    <row r="764">
      <c r="E764" s="34" t="n"/>
    </row>
    <row r="765">
      <c r="E765" s="34" t="n"/>
    </row>
    <row r="766">
      <c r="E766" s="34" t="n"/>
    </row>
    <row r="767">
      <c r="E767" s="34" t="n"/>
    </row>
    <row r="768">
      <c r="E768" s="34" t="n"/>
    </row>
    <row r="769">
      <c r="E769" s="34" t="n"/>
    </row>
    <row r="770">
      <c r="E770" s="34" t="n"/>
    </row>
    <row r="771">
      <c r="E771" s="34" t="n"/>
    </row>
    <row r="772">
      <c r="E772" s="34" t="n"/>
    </row>
    <row r="773">
      <c r="E773" s="34" t="n"/>
    </row>
    <row r="774">
      <c r="E774" s="34" t="n"/>
    </row>
    <row r="775">
      <c r="E775" s="34" t="n"/>
    </row>
    <row r="776">
      <c r="E776" s="34" t="n"/>
    </row>
    <row r="777">
      <c r="E777" s="34" t="n"/>
    </row>
    <row r="778">
      <c r="E778" s="34" t="n"/>
    </row>
    <row r="779">
      <c r="E779" s="34" t="n"/>
    </row>
    <row r="780">
      <c r="E780" s="34" t="n"/>
    </row>
    <row r="781">
      <c r="E781" s="34" t="n"/>
    </row>
    <row r="782">
      <c r="E782" s="34" t="n"/>
    </row>
    <row r="783">
      <c r="E783" s="34" t="n"/>
    </row>
    <row r="784">
      <c r="E784" s="34" t="n"/>
    </row>
    <row r="785">
      <c r="E785" s="34" t="n"/>
    </row>
    <row r="786">
      <c r="E786" s="34" t="n"/>
    </row>
    <row r="787">
      <c r="E787" s="34" t="n"/>
    </row>
    <row r="788">
      <c r="E788" s="34" t="n"/>
    </row>
    <row r="789">
      <c r="E789" s="34" t="n"/>
    </row>
    <row r="790">
      <c r="E790" s="34" t="n"/>
    </row>
    <row r="791">
      <c r="E791" s="34" t="n"/>
    </row>
    <row r="792">
      <c r="E792" s="34" t="n"/>
    </row>
    <row r="793">
      <c r="E793" s="34" t="n"/>
    </row>
    <row r="794">
      <c r="E794" s="34" t="n"/>
    </row>
    <row r="795">
      <c r="E795" s="34" t="n"/>
    </row>
    <row r="796">
      <c r="E796" s="34" t="n"/>
    </row>
    <row r="797">
      <c r="E797" s="34" t="n"/>
    </row>
    <row r="798">
      <c r="E798" s="34" t="n"/>
    </row>
    <row r="799">
      <c r="E799" s="34" t="n"/>
    </row>
    <row r="800">
      <c r="E800" s="34" t="n"/>
    </row>
    <row r="801">
      <c r="E801" s="34" t="n"/>
    </row>
    <row r="802">
      <c r="E802" s="34" t="n"/>
    </row>
    <row r="803">
      <c r="E803" s="34" t="n"/>
    </row>
    <row r="804">
      <c r="E804" s="34" t="n"/>
    </row>
    <row r="805">
      <c r="E805" s="34" t="n"/>
    </row>
    <row r="806">
      <c r="E806" s="34" t="n"/>
    </row>
    <row r="807">
      <c r="E807" s="34" t="n"/>
    </row>
    <row r="808">
      <c r="E808" s="34" t="n"/>
    </row>
    <row r="809">
      <c r="E809" s="34" t="n"/>
    </row>
    <row r="810">
      <c r="E810" s="34" t="n"/>
    </row>
    <row r="811">
      <c r="E811" s="34" t="n"/>
    </row>
    <row r="812">
      <c r="E812" s="34" t="n"/>
    </row>
    <row r="813">
      <c r="E813" s="34" t="n"/>
    </row>
    <row r="814">
      <c r="E814" s="34" t="n"/>
    </row>
    <row r="815">
      <c r="E815" s="34" t="n"/>
    </row>
    <row r="816">
      <c r="E816" s="34" t="n"/>
    </row>
    <row r="817">
      <c r="E817" s="34" t="n"/>
    </row>
    <row r="818">
      <c r="E818" s="34" t="n"/>
    </row>
    <row r="819">
      <c r="E819" s="34" t="n"/>
    </row>
    <row r="820">
      <c r="E820" s="34" t="n"/>
    </row>
    <row r="821">
      <c r="E821" s="34" t="n"/>
    </row>
    <row r="822">
      <c r="E822" s="34" t="n"/>
    </row>
    <row r="823">
      <c r="E823" s="34" t="n"/>
    </row>
    <row r="824">
      <c r="E824" s="34" t="n"/>
    </row>
    <row r="825">
      <c r="E825" s="34" t="n"/>
    </row>
    <row r="826">
      <c r="E826" s="34" t="n"/>
    </row>
    <row r="827">
      <c r="E827" s="34" t="n"/>
    </row>
    <row r="828">
      <c r="E828" s="34" t="n"/>
    </row>
    <row r="829">
      <c r="E829" s="34" t="n"/>
    </row>
    <row r="830">
      <c r="E830" s="34" t="n"/>
    </row>
    <row r="831">
      <c r="E831" s="34" t="n"/>
    </row>
    <row r="832">
      <c r="E832" s="34" t="n"/>
    </row>
    <row r="833">
      <c r="E833" s="34" t="n"/>
    </row>
    <row r="834">
      <c r="E834" s="34" t="n"/>
    </row>
    <row r="835">
      <c r="E835" s="34" t="n"/>
    </row>
    <row r="836">
      <c r="E836" s="34" t="n"/>
    </row>
    <row r="837">
      <c r="E837" s="34" t="n"/>
    </row>
    <row r="838">
      <c r="E838" s="34" t="n"/>
    </row>
    <row r="839">
      <c r="E839" s="34" t="n"/>
    </row>
    <row r="840">
      <c r="E840" s="34" t="n"/>
    </row>
    <row r="841">
      <c r="E841" s="34" t="n"/>
    </row>
    <row r="842">
      <c r="E842" s="34" t="n"/>
    </row>
    <row r="843">
      <c r="E843" s="34" t="n"/>
    </row>
    <row r="844">
      <c r="E844" s="34" t="n"/>
    </row>
    <row r="845">
      <c r="E845" s="34" t="n"/>
    </row>
    <row r="846">
      <c r="E846" s="34" t="n"/>
    </row>
    <row r="847">
      <c r="E847" s="34" t="n"/>
    </row>
    <row r="848">
      <c r="E848" s="34" t="n"/>
    </row>
    <row r="849">
      <c r="E849" s="34" t="n"/>
    </row>
    <row r="850">
      <c r="E850" s="34" t="n"/>
    </row>
    <row r="851">
      <c r="E851" s="34" t="n"/>
    </row>
    <row r="852">
      <c r="E852" s="34" t="n"/>
    </row>
    <row r="853">
      <c r="E853" s="34" t="n"/>
    </row>
    <row r="854">
      <c r="E854" s="34" t="n"/>
    </row>
    <row r="855">
      <c r="E855" s="34" t="n"/>
    </row>
    <row r="856">
      <c r="E856" s="34" t="n"/>
    </row>
    <row r="857">
      <c r="E857" s="34" t="n"/>
    </row>
    <row r="858">
      <c r="E858" s="34" t="n"/>
    </row>
    <row r="859">
      <c r="E859" s="34" t="n"/>
    </row>
    <row r="860">
      <c r="E860" s="34" t="n"/>
    </row>
    <row r="861">
      <c r="E861" s="34" t="n"/>
    </row>
    <row r="862">
      <c r="E862" s="34" t="n"/>
    </row>
    <row r="863">
      <c r="E863" s="34" t="n"/>
    </row>
    <row r="864">
      <c r="E864" s="34" t="n"/>
    </row>
    <row r="865">
      <c r="E865" s="34" t="n"/>
    </row>
    <row r="866">
      <c r="E866" s="34" t="n"/>
    </row>
    <row r="867">
      <c r="E867" s="34" t="n"/>
    </row>
    <row r="868">
      <c r="E868" s="34" t="n"/>
    </row>
    <row r="869">
      <c r="E869" s="34" t="n"/>
    </row>
    <row r="870">
      <c r="E870" s="34" t="n"/>
    </row>
    <row r="871">
      <c r="E871" s="34" t="n"/>
    </row>
    <row r="872">
      <c r="E872" s="34" t="n"/>
    </row>
    <row r="873">
      <c r="E873" s="34" t="n"/>
    </row>
    <row r="874">
      <c r="E874" s="34" t="n"/>
    </row>
    <row r="875">
      <c r="E875" s="34" t="n"/>
    </row>
    <row r="876">
      <c r="E876" s="34" t="n"/>
    </row>
    <row r="877">
      <c r="E877" s="34" t="n"/>
    </row>
    <row r="878">
      <c r="E878" s="34" t="n"/>
    </row>
    <row r="879">
      <c r="E879" s="34" t="n"/>
    </row>
    <row r="880">
      <c r="E880" s="34" t="n"/>
    </row>
    <row r="881">
      <c r="E881" s="34" t="n"/>
    </row>
    <row r="882">
      <c r="E882" s="34" t="n"/>
    </row>
    <row r="883">
      <c r="E883" s="34" t="n"/>
    </row>
    <row r="884">
      <c r="E884" s="34" t="n"/>
    </row>
    <row r="885">
      <c r="E885" s="34" t="n"/>
    </row>
    <row r="886">
      <c r="E886" s="34" t="n"/>
    </row>
    <row r="887">
      <c r="E887" s="34" t="n"/>
    </row>
    <row r="888">
      <c r="E888" s="34" t="n"/>
    </row>
    <row r="889">
      <c r="E889" s="34" t="n"/>
    </row>
    <row r="890">
      <c r="E890" s="34" t="n"/>
    </row>
    <row r="891">
      <c r="E891" s="34" t="n"/>
    </row>
    <row r="892">
      <c r="E892" s="34" t="n"/>
    </row>
    <row r="893">
      <c r="E893" s="34" t="n"/>
    </row>
    <row r="894">
      <c r="E894" s="34" t="n"/>
    </row>
    <row r="895">
      <c r="E895" s="34" t="n"/>
    </row>
    <row r="896">
      <c r="E896" s="34" t="n"/>
    </row>
    <row r="897">
      <c r="E897" s="34" t="n"/>
    </row>
    <row r="898">
      <c r="E898" s="34" t="n"/>
    </row>
    <row r="899">
      <c r="E899" s="34" t="n"/>
    </row>
    <row r="900">
      <c r="E900" s="34" t="n"/>
    </row>
    <row r="901">
      <c r="E901" s="34" t="n"/>
    </row>
    <row r="902">
      <c r="E902" s="34" t="n"/>
    </row>
    <row r="903">
      <c r="E903" s="34" t="n"/>
    </row>
    <row r="904">
      <c r="E904" s="34" t="n"/>
    </row>
    <row r="905">
      <c r="E905" s="34" t="n"/>
    </row>
    <row r="906">
      <c r="E906" s="34" t="n"/>
    </row>
    <row r="907">
      <c r="E907" s="34" t="n"/>
    </row>
    <row r="908">
      <c r="E908" s="34" t="n"/>
    </row>
    <row r="909">
      <c r="E909" s="34" t="n"/>
    </row>
    <row r="910">
      <c r="E910" s="34" t="n"/>
    </row>
    <row r="911">
      <c r="E911" s="34" t="n"/>
    </row>
    <row r="912">
      <c r="E912" s="34" t="n"/>
    </row>
    <row r="913">
      <c r="E913" s="34" t="n"/>
    </row>
    <row r="914">
      <c r="E914" s="34" t="n"/>
    </row>
    <row r="915">
      <c r="E915" s="34" t="n"/>
    </row>
    <row r="916">
      <c r="E916" s="34" t="n"/>
    </row>
    <row r="917">
      <c r="E917" s="34" t="n"/>
    </row>
    <row r="918">
      <c r="E918" s="34" t="n"/>
    </row>
    <row r="919">
      <c r="E919" s="34" t="n"/>
    </row>
    <row r="920">
      <c r="E920" s="34" t="n"/>
    </row>
    <row r="921">
      <c r="E921" s="34" t="n"/>
    </row>
    <row r="922">
      <c r="E922" s="34" t="n"/>
    </row>
    <row r="923">
      <c r="E923" s="34" t="n"/>
    </row>
    <row r="924">
      <c r="E924" s="34" t="n"/>
    </row>
    <row r="925">
      <c r="E925" s="34" t="n"/>
    </row>
    <row r="926">
      <c r="E926" s="34" t="n"/>
    </row>
    <row r="927">
      <c r="E927" s="34" t="n"/>
    </row>
    <row r="928">
      <c r="E928" s="34" t="n"/>
    </row>
    <row r="929">
      <c r="E929" s="34" t="n"/>
    </row>
    <row r="930">
      <c r="E930" s="34" t="n"/>
    </row>
    <row r="931">
      <c r="E931" s="34" t="n"/>
    </row>
    <row r="932">
      <c r="E932" s="34" t="n"/>
    </row>
    <row r="933">
      <c r="E933" s="34" t="n"/>
    </row>
    <row r="934">
      <c r="E934" s="34" t="n"/>
    </row>
    <row r="935">
      <c r="E935" s="34" t="n"/>
    </row>
    <row r="936">
      <c r="E936" s="34" t="n"/>
    </row>
    <row r="937">
      <c r="E937" s="34" t="n"/>
    </row>
    <row r="938">
      <c r="E938" s="34" t="n"/>
    </row>
    <row r="939">
      <c r="E939" s="34" t="n"/>
    </row>
    <row r="940">
      <c r="E940" s="34" t="n"/>
    </row>
    <row r="941">
      <c r="E941" s="34" t="n"/>
    </row>
    <row r="942">
      <c r="E942" s="34" t="n"/>
    </row>
    <row r="943">
      <c r="E943" s="34" t="n"/>
    </row>
    <row r="944">
      <c r="E944" s="34" t="n"/>
    </row>
    <row r="945">
      <c r="E945" s="34" t="n"/>
    </row>
    <row r="946">
      <c r="E946" s="34" t="n"/>
    </row>
    <row r="947">
      <c r="E947" s="34" t="n"/>
    </row>
    <row r="948">
      <c r="E948" s="34" t="n"/>
    </row>
    <row r="949">
      <c r="E949" s="34" t="n"/>
    </row>
    <row r="950">
      <c r="E950" s="34" t="n"/>
    </row>
    <row r="951">
      <c r="E951" s="34" t="n"/>
    </row>
    <row r="952">
      <c r="E952" s="34" t="n"/>
    </row>
    <row r="953">
      <c r="E953" s="34" t="n"/>
    </row>
    <row r="954">
      <c r="E954" s="34" t="n"/>
    </row>
    <row r="955">
      <c r="E955" s="34" t="n"/>
    </row>
    <row r="956">
      <c r="E956" s="34" t="n"/>
    </row>
    <row r="957">
      <c r="E957" s="34" t="n"/>
    </row>
    <row r="958">
      <c r="E958" s="34" t="n"/>
    </row>
    <row r="959">
      <c r="E959" s="34" t="n"/>
    </row>
    <row r="960">
      <c r="E960" s="34" t="n"/>
    </row>
    <row r="961">
      <c r="E961" s="34" t="n"/>
    </row>
    <row r="962">
      <c r="E962" s="34" t="n"/>
    </row>
    <row r="963">
      <c r="E963" s="34" t="n"/>
    </row>
    <row r="964">
      <c r="E964" s="34" t="n"/>
    </row>
    <row r="965">
      <c r="E965" s="34" t="n"/>
    </row>
    <row r="966">
      <c r="E966" s="34" t="n"/>
    </row>
    <row r="967">
      <c r="E967" s="34" t="n"/>
    </row>
    <row r="968">
      <c r="E968" s="34" t="n"/>
    </row>
    <row r="969">
      <c r="E969" s="34" t="n"/>
    </row>
    <row r="970">
      <c r="E970" s="34" t="n"/>
    </row>
    <row r="971">
      <c r="E971" s="34" t="n"/>
    </row>
    <row r="972">
      <c r="E972" s="34" t="n"/>
    </row>
    <row r="973">
      <c r="E973" s="34" t="n"/>
    </row>
    <row r="974">
      <c r="E974" s="34" t="n"/>
    </row>
    <row r="975">
      <c r="E975" s="34" t="n"/>
    </row>
    <row r="976">
      <c r="E976" s="34" t="n"/>
    </row>
    <row r="977">
      <c r="E977" s="34" t="n"/>
    </row>
    <row r="978">
      <c r="E978" s="34" t="n"/>
    </row>
    <row r="979">
      <c r="E979" s="34" t="n"/>
    </row>
    <row r="980">
      <c r="E980" s="34" t="n"/>
    </row>
    <row r="981">
      <c r="E981" s="34" t="n"/>
    </row>
    <row r="982">
      <c r="E982" s="34" t="n"/>
    </row>
    <row r="983">
      <c r="E983" s="34" t="n"/>
    </row>
    <row r="984">
      <c r="E984" s="34" t="n"/>
    </row>
    <row r="985">
      <c r="E985" s="34" t="n"/>
    </row>
    <row r="986">
      <c r="E986" s="34" t="n"/>
    </row>
    <row r="987">
      <c r="E987" s="34" t="n"/>
    </row>
    <row r="988">
      <c r="E988" s="34" t="n"/>
    </row>
    <row r="989">
      <c r="E989" s="34" t="n"/>
    </row>
    <row r="990">
      <c r="E990" s="34" t="n"/>
    </row>
    <row r="991">
      <c r="E991" s="34" t="n"/>
    </row>
    <row r="992">
      <c r="E992" s="34" t="n"/>
    </row>
    <row r="993">
      <c r="E993" s="34" t="n"/>
    </row>
    <row r="994">
      <c r="E994" s="34" t="n"/>
    </row>
    <row r="995">
      <c r="E995" s="34" t="n"/>
    </row>
    <row r="996">
      <c r="E996" s="34" t="n"/>
    </row>
    <row r="997">
      <c r="E997" s="34" t="n"/>
    </row>
    <row r="998">
      <c r="E998" s="34" t="n"/>
    </row>
    <row r="999">
      <c r="E999" s="34" t="n"/>
    </row>
    <row r="1000">
      <c r="E1000" s="34" t="n"/>
    </row>
    <row r="1001">
      <c r="E1001" s="3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6"/>
  <sheetViews>
    <sheetView showGridLines="0" workbookViewId="0">
      <pane ySplit="3" topLeftCell="A4" activePane="bottomLeft" state="frozen"/>
      <selection pane="bottomLeft" activeCell="A1" sqref="A1"/>
    </sheetView>
  </sheetViews>
  <sheetFormatPr baseColWidth="8" defaultRowHeight="15"/>
  <cols>
    <col width="34" customWidth="1" style="49" min="1" max="1"/>
    <col width="12" customWidth="1" style="49" min="2" max="2"/>
    <col width="11" customWidth="1" style="49" min="3" max="3"/>
    <col width="11" customWidth="1" style="49" min="4" max="4"/>
    <col width="11" customWidth="1" style="49" min="5" max="5"/>
    <col width="11" customWidth="1" style="49" min="6" max="6"/>
    <col width="50" customWidth="1" style="49" min="7" max="7"/>
  </cols>
  <sheetData>
    <row r="1" ht="42" customHeight="1" s="49">
      <c r="A1" s="53" t="inlineStr">
        <is>
          <t>KHUNG ĐÁNH GIÁ SỐ 1 — Hiệu quả Retriever sau Federated Training &amp; Đánh đổi Privacy–Utility</t>
        </is>
      </c>
      <c r="B1" s="61" t="n"/>
      <c r="C1" s="61" t="n"/>
      <c r="D1" s="61" t="n"/>
      <c r="E1" s="61" t="n"/>
      <c r="F1" s="61" t="n"/>
      <c r="G1" s="60" t="n"/>
    </row>
    <row r="2">
      <c r="A2" s="55" t="inlineStr">
        <is>
          <t>Nguồn dữ liệu: FedE4RAG (Mao et al., 2025) · bộ tài chính 5 công ty · paper-protocol eval · cập nhật từ bảng tổng hợp 11 training-runs của nhóm</t>
        </is>
      </c>
      <c r="B2" s="61" t="n"/>
      <c r="C2" s="61" t="n"/>
      <c r="D2" s="61" t="n"/>
      <c r="E2" s="61" t="n"/>
      <c r="F2" s="61" t="n"/>
      <c r="G2" s="60" t="n"/>
    </row>
    <row r="4">
      <c r="A4" s="56" t="inlineStr">
        <is>
          <t>1 · MỤC TIÊU</t>
        </is>
      </c>
      <c r="B4" s="61" t="n"/>
      <c r="C4" s="61" t="n"/>
      <c r="D4" s="61" t="n"/>
      <c r="E4" s="61" t="n"/>
      <c r="F4" s="61" t="n"/>
      <c r="G4" s="60" t="n"/>
    </row>
    <row r="5" ht="48" customHeight="1" s="49">
      <c r="A5" s="57" t="inlineStr">
        <is>
          <t>Đo độ hiệu quả của bộ retriever (embedding model) sau khi train federated, nhằm cải thiện độ chính xác tìm tài liệu liên quan tới query; và ĐỊNH LƯỢNG cái giá phải trả về độ chính xác khi thêm các cơ chế bảo mật (Differential Privacy + LoRA thay cho full fine-tuning của paper gốc).</t>
        </is>
      </c>
      <c r="B5" s="61" t="n"/>
      <c r="C5" s="61" t="n"/>
      <c r="D5" s="61" t="n"/>
      <c r="E5" s="61" t="n"/>
      <c r="F5" s="61" t="n"/>
      <c r="G5" s="60" t="n"/>
    </row>
    <row r="7">
      <c r="A7" s="56" t="inlineStr">
        <is>
          <t>2 · DATASET</t>
        </is>
      </c>
      <c r="B7" s="61" t="n"/>
      <c r="C7" s="61" t="n"/>
      <c r="D7" s="61" t="n"/>
      <c r="E7" s="61" t="n"/>
      <c r="F7" s="61" t="n"/>
      <c r="G7" s="60" t="n"/>
    </row>
    <row r="8" ht="70" customHeight="1" s="49">
      <c r="A8" s="57" t="inlineStr">
        <is>
          <t>• Định dạng: {user query ; text chunk}.
• Nguồn: 5 công ty tài chính (AES, Boeing, Activision Blizzard, P&amp;G, PepsiCo) — 51 documents, 23,123 trang, sinh 43,658 cặp query–chunk synthetic (11 ngách tài chính).
• Split đánh giá: val = 50 cặp, test = 100 cặp (đúng bộ val/test của paper gốc → so sánh công bằng vì chung cốt lõi kiến trúc; chỉ khác cách triển khai security).</t>
        </is>
      </c>
      <c r="B8" s="61" t="n"/>
      <c r="C8" s="61" t="n"/>
      <c r="D8" s="61" t="n"/>
      <c r="E8" s="61" t="n"/>
      <c r="F8" s="61" t="n"/>
      <c r="G8" s="60" t="n"/>
    </row>
    <row r="10">
      <c r="A10" s="56" t="inlineStr">
        <is>
          <t>3 · GIAO THỨC ĐÁNH GIÁ  (eval protocol — BẮT BUỘC ghi rõ để so sánh đúng chuẩn)</t>
        </is>
      </c>
      <c r="B10" s="61" t="n"/>
      <c r="C10" s="61" t="n"/>
      <c r="D10" s="61" t="n"/>
      <c r="E10" s="61" t="n"/>
      <c r="F10" s="61" t="n"/>
      <c r="G10" s="60" t="n"/>
    </row>
    <row r="11" ht="104" customHeight="1" s="49">
      <c r="A11" s="58" t="inlineStr">
        <is>
          <t>⚠ Mọi con số dưới đây theo PAPER-PROTOCOL, KHÔNG phải standard-IR. Khác biệt quyết định:
• Corpus = test_corpus + APPEND các đoạn reference vàng (append_refs=True) — bỏ bước này thì Hit@1 ≈ 0%.
• Định nghĩa Hit của paper: "any retrieved_id ∈ first-K golden"  ≡  Recall@K (không phải hit theo đúng vị trí).
• Retrieve top-K = 10, xếp hạng theo cosine similarity; chunking: char-2048 (baseline) hoặc LlamaIndex tokenized.
• Công cụ tái lập: FedE/eval_paper_protocol.py.
→ Vì vậy việc so với "Paper claim 87" CHỈ hợp lệ khi cùng paper-protocol; phần lớn khoảng cách là do GIAO THỨC ĐO.</t>
        </is>
      </c>
      <c r="B11" s="61" t="n"/>
      <c r="C11" s="61" t="n"/>
      <c r="D11" s="61" t="n"/>
      <c r="E11" s="61" t="n"/>
      <c r="F11" s="61" t="n"/>
      <c r="G11" s="60" t="n"/>
    </row>
    <row r="13">
      <c r="A13" s="56" t="inlineStr">
        <is>
          <t>4 · BỘ CHỈ SỐ (phân tầng — tránh liệt kê dàn trải)</t>
        </is>
      </c>
      <c r="B13" s="61" t="n"/>
      <c r="C13" s="61" t="n"/>
      <c r="D13" s="61" t="n"/>
      <c r="E13" s="61" t="n"/>
      <c r="F13" s="61" t="n"/>
      <c r="G13" s="60" t="n"/>
    </row>
    <row r="14">
      <c r="A14" s="59" t="inlineStr">
        <is>
          <t>Tầng</t>
        </is>
      </c>
      <c r="B14" s="59" t="inlineStr">
        <is>
          <t>Chỉ số</t>
        </is>
      </c>
      <c r="C14" s="60" t="n"/>
      <c r="D14" s="59" t="inlineStr">
        <is>
          <t>Vai trò</t>
        </is>
      </c>
      <c r="E14" s="61" t="n"/>
      <c r="F14" s="61" t="n"/>
      <c r="G14" s="60" t="n"/>
    </row>
    <row r="15">
      <c r="A15" s="62" t="inlineStr">
        <is>
          <t>Primary</t>
        </is>
      </c>
      <c r="B15" s="63" t="inlineStr">
        <is>
          <t>Hit@1, Hit@10, MRR</t>
        </is>
      </c>
      <c r="C15" s="60" t="n"/>
      <c r="D15" s="63" t="inlineStr">
        <is>
          <t>So TRỰC TIẾP với paper (cùng định nghĩa). Đây là số báo cáo chính.</t>
        </is>
      </c>
      <c r="E15" s="61" t="n"/>
      <c r="F15" s="61" t="n"/>
      <c r="G15" s="60" t="n"/>
    </row>
    <row r="16">
      <c r="A16" s="64" t="inlineStr">
        <is>
          <t>Secondary</t>
        </is>
      </c>
      <c r="B16" s="65" t="inlineStr">
        <is>
          <t>Recall@k, NDCG, MAP, EM</t>
        </is>
      </c>
      <c r="C16" s="60" t="n"/>
      <c r="D16" s="65" t="inlineStr">
        <is>
          <t>Bổ trợ chất lượng ranking/độ phủ; báo cáo khi cần làm rõ.</t>
        </is>
      </c>
      <c r="E16" s="61" t="n"/>
      <c r="F16" s="61" t="n"/>
      <c r="G16" s="60" t="n"/>
    </row>
    <row r="17">
      <c r="A17" s="62" t="inlineStr">
        <is>
          <t>Chẩn đoán</t>
        </is>
      </c>
      <c r="B17" s="63" t="inlineStr">
        <is>
          <t>ε spent, lora_B std</t>
        </is>
      </c>
      <c r="C17" s="60" t="n"/>
      <c r="D17" s="63" t="inlineStr">
        <is>
          <t>Kiểm chứng privacy (ε ≤ target) + model CÓ THỰC SỰ HỌC không.</t>
        </is>
      </c>
      <c r="E17" s="61" t="n"/>
      <c r="F17" s="61" t="n"/>
      <c r="G17" s="60" t="n"/>
    </row>
    <row r="19">
      <c r="A19" s="56" t="inlineStr">
        <is>
          <t>5 · KẾT QUẢ — KHỐI A: biến thể TRAINING  (trả lời trực tiếp câu hỏi đánh đổi DP/LoRA)</t>
        </is>
      </c>
      <c r="B19" s="61" t="n"/>
      <c r="C19" s="61" t="n"/>
      <c r="D19" s="61" t="n"/>
      <c r="E19" s="61" t="n"/>
      <c r="F19" s="61" t="n"/>
      <c r="G19" s="60" t="n"/>
    </row>
    <row r="20">
      <c r="A20" s="59" t="inlineStr">
        <is>
          <t>Setup</t>
        </is>
      </c>
      <c r="B20" s="59" t="inlineStr">
        <is>
          <t>ε</t>
        </is>
      </c>
      <c r="C20" s="59" t="inlineStr">
        <is>
          <t>Val Hit@1</t>
        </is>
      </c>
      <c r="D20" s="59" t="inlineStr">
        <is>
          <t>Val MRR</t>
        </is>
      </c>
      <c r="E20" s="59" t="inlineStr">
        <is>
          <t>Test Hit@1</t>
        </is>
      </c>
      <c r="F20" s="59" t="inlineStr">
        <is>
          <t>Test MRR</t>
        </is>
      </c>
      <c r="G20" s="59" t="inlineStr">
        <is>
          <t>Ghi chú</t>
        </is>
      </c>
    </row>
    <row r="21">
      <c r="A21" s="66" t="inlineStr">
        <is>
          <t>Pretrained BGE-base + LlamaIndex</t>
        </is>
      </c>
      <c r="B21" s="67" t="inlineStr">
        <is>
          <t>—</t>
        </is>
      </c>
      <c r="C21" s="67" t="n">
        <v>62</v>
      </c>
      <c r="D21" s="67" t="n">
        <v>48.47</v>
      </c>
      <c r="E21" s="67" t="n">
        <v>62</v>
      </c>
      <c r="F21" s="67" t="n">
        <v>46.8</v>
      </c>
      <c r="G21" s="68" t="inlineStr">
        <is>
          <t>Baseline (không train) — mốc tham chiếu</t>
        </is>
      </c>
    </row>
    <row r="22">
      <c r="A22" s="69" t="inlineStr">
        <is>
          <t>Non-DP fine-tune (Run 10) + LI</t>
        </is>
      </c>
      <c r="B22" s="70" t="inlineStr">
        <is>
          <t>∞ (no DP)</t>
        </is>
      </c>
      <c r="C22" s="70" t="n">
        <v>58</v>
      </c>
      <c r="D22" s="70" t="n">
        <v>50.97</v>
      </c>
      <c r="E22" s="70" t="n">
        <v>56</v>
      </c>
      <c r="F22" s="70" t="n">
        <v>44.71</v>
      </c>
      <c r="G22" s="71" t="inlineStr">
        <is>
          <t>⬇ GIẢM: overfit data 5-cty → kém hơn cả pretrained</t>
        </is>
      </c>
    </row>
    <row r="23">
      <c r="A23" s="72" t="inlineStr">
        <is>
          <t>DP ε=20 (Run 11) + LI</t>
        </is>
      </c>
      <c r="B23" s="73" t="n">
        <v>20</v>
      </c>
      <c r="C23" s="73" t="n">
        <v>62</v>
      </c>
      <c r="D23" s="73" t="n">
        <v>48.47</v>
      </c>
      <c r="E23" s="73" t="n">
        <v>62</v>
      </c>
      <c r="F23" s="73" t="n">
        <v>46.8</v>
      </c>
      <c r="G23" s="74" t="inlineStr">
        <is>
          <t>✅ = pretrained (bit-identical) → giữ ~100% chất lượng, có ε-DP</t>
        </is>
      </c>
    </row>
    <row r="24" ht="30" customHeight="1" s="49">
      <c r="A24" s="75" t="inlineStr">
        <is>
          <t>→ Kết luận khối A: DP KHÔNG làm giảm (≡ pretrained); ngược lại Non-DP fine-tune mới gây hại do overfit. DP &gt; Non-DP khoảng +4–6% Hit@1 trên test out-of-domain.</t>
        </is>
      </c>
      <c r="B24" s="61" t="n"/>
      <c r="C24" s="61" t="n"/>
      <c r="D24" s="61" t="n"/>
      <c r="E24" s="61" t="n"/>
      <c r="F24" s="61" t="n"/>
      <c r="G24" s="60" t="n"/>
    </row>
    <row r="26">
      <c r="A26" s="56" t="inlineStr">
        <is>
          <t>6 · KẾT QUẢ — KHỐI B: biến thể EVAL-SIDE  (không train, chạy trên pretrained)</t>
        </is>
      </c>
      <c r="B26" s="61" t="n"/>
      <c r="C26" s="61" t="n"/>
      <c r="D26" s="61" t="n"/>
      <c r="E26" s="61" t="n"/>
      <c r="F26" s="61" t="n"/>
      <c r="G26" s="60" t="n"/>
    </row>
    <row r="27">
      <c r="A27" s="59" t="inlineStr">
        <is>
          <t>Setup</t>
        </is>
      </c>
      <c r="B27" s="59" t="inlineStr">
        <is>
          <t>ε</t>
        </is>
      </c>
      <c r="C27" s="59" t="inlineStr">
        <is>
          <t>Val Hit@1</t>
        </is>
      </c>
      <c r="D27" s="59" t="inlineStr">
        <is>
          <t>Val MRR</t>
        </is>
      </c>
      <c r="E27" s="59" t="inlineStr">
        <is>
          <t>Test Hit@1</t>
        </is>
      </c>
      <c r="F27" s="59" t="inlineStr">
        <is>
          <t>Test MRR</t>
        </is>
      </c>
      <c r="G27" s="59" t="inlineStr">
        <is>
          <t>Ghi chú</t>
        </is>
      </c>
    </row>
    <row r="28">
      <c r="A28" s="66" t="inlineStr">
        <is>
          <t>BGE base (char-chunk 2048)</t>
        </is>
      </c>
      <c r="B28" s="67" t="inlineStr">
        <is>
          <t>—</t>
        </is>
      </c>
      <c r="C28" s="67" t="n">
        <v>56</v>
      </c>
      <c r="D28" s="67" t="n">
        <v>41.6</v>
      </c>
      <c r="E28" s="67" t="n">
        <v>49</v>
      </c>
      <c r="F28" s="67" t="n">
        <v>37.13</v>
      </c>
      <c r="G28" s="68" t="inlineStr">
        <is>
          <t>Baseline char chunking</t>
        </is>
      </c>
    </row>
    <row r="29">
      <c r="A29" s="69" t="inlineStr">
        <is>
          <t>SEC-BERT pretrained (domain swap)</t>
        </is>
      </c>
      <c r="B29" s="70" t="inlineStr">
        <is>
          <t>—</t>
        </is>
      </c>
      <c r="C29" s="70" t="n">
        <v>8</v>
      </c>
      <c r="D29" s="70" t="n">
        <v>2.25</v>
      </c>
      <c r="E29" s="70" t="n">
        <v>5</v>
      </c>
      <c r="F29" s="70" t="n">
        <v>3.28</v>
      </c>
      <c r="G29" s="71" t="inlineStr">
        <is>
          <t>❌ thất bại — domain finance ≠ pretraining của SEC-BERT</t>
        </is>
      </c>
    </row>
    <row r="30">
      <c r="A30" s="72" t="inlineStr">
        <is>
          <t>BGE + LlamaIndex chunk</t>
        </is>
      </c>
      <c r="B30" s="73" t="inlineStr">
        <is>
          <t>—</t>
        </is>
      </c>
      <c r="C30" s="73" t="n">
        <v>62</v>
      </c>
      <c r="D30" s="73" t="n">
        <v>48.47</v>
      </c>
      <c r="E30" s="73" t="n">
        <v>62</v>
      </c>
      <c r="F30" s="73" t="n">
        <v>46.8</v>
      </c>
      <c r="G30" s="74" t="inlineStr">
        <is>
          <t>⭐ chunking tokenized tốt hơn char, DETERMINISTIC</t>
        </is>
      </c>
    </row>
    <row r="31">
      <c r="A31" s="76" t="inlineStr">
        <is>
          <t>BGE + LlamaIndex + Query-Expansion N=3</t>
        </is>
      </c>
      <c r="B31" s="77" t="inlineStr">
        <is>
          <t>—</t>
        </is>
      </c>
      <c r="C31" s="77" t="n">
        <v>74</v>
      </c>
      <c r="D31" s="77" t="n">
        <v>55.79</v>
      </c>
      <c r="E31" s="77" t="n">
        <v>61</v>
      </c>
      <c r="F31" s="77" t="n">
        <v>46.23</v>
      </c>
      <c r="G31" s="78" t="inlineStr">
        <is>
          <t>⭐ val cao nhất — nhưng QE3 do_sample NGẪU NHIÊN (số dao động)</t>
        </is>
      </c>
    </row>
    <row r="32">
      <c r="A32" s="66" t="inlineStr">
        <is>
          <t>Paper claim (mục tiêu tham chiếu)</t>
        </is>
      </c>
      <c r="B32" s="67" t="inlineStr">
        <is>
          <t>—</t>
        </is>
      </c>
      <c r="C32" s="67" t="n">
        <v>87</v>
      </c>
      <c r="D32" s="67" t="n">
        <v>71</v>
      </c>
      <c r="E32" s="67" t="n">
        <v>73</v>
      </c>
      <c r="F32" s="67" t="inlineStr">
        <is>
          <t>—</t>
        </is>
      </c>
      <c r="G32" s="68" t="inlineStr">
        <is>
          <t>Đích so sánh; đạt được phần lớn nhờ khác giao thức đo</t>
        </is>
      </c>
    </row>
    <row r="34">
      <c r="A34" s="56" t="inlineStr">
        <is>
          <t>7 · ĐƯỜNG CONG PRIVACY–UTILITY  (ε-sweep, paper-protocol + LlamaIndex)</t>
        </is>
      </c>
      <c r="B34" s="61" t="n"/>
      <c r="C34" s="61" t="n"/>
      <c r="D34" s="61" t="n"/>
      <c r="E34" s="61" t="n"/>
      <c r="F34" s="61" t="n"/>
      <c r="G34" s="60" t="n"/>
    </row>
    <row r="35">
      <c r="A35" s="59" t="inlineStr">
        <is>
          <t>ε (budget)</t>
        </is>
      </c>
      <c r="B35" s="59" t="inlineStr">
        <is>
          <t>σ (noise)</t>
        </is>
      </c>
      <c r="C35" s="59" t="inlineStr">
        <is>
          <t>Val Hit@1</t>
        </is>
      </c>
      <c r="D35" s="59" t="inlineStr">
        <is>
          <t>Test Hit@1</t>
        </is>
      </c>
      <c r="E35" s="59" t="inlineStr">
        <is>
          <t>Trạng thái</t>
        </is>
      </c>
      <c r="F35" s="61" t="n"/>
      <c r="G35" s="60" t="n"/>
    </row>
    <row r="36" ht="44" customHeight="1" s="49">
      <c r="A36" s="81" t="n">
        <v>1</v>
      </c>
      <c r="B36" s="73" t="n">
        <v>28.13</v>
      </c>
      <c r="C36" s="73" t="n">
        <v>62</v>
      </c>
      <c r="D36" s="73" t="n">
        <v>62</v>
      </c>
      <c r="E36" s="74" t="inlineStr">
        <is>
          <t>✅ ĐO THẬT (LlamaIndex): val H@1=62/H@10=68/MRR=48.47 · test H@1=62/H@10=71/MRR=46.80 = pretrained hoàn toàn. lora_B std=2.47e-04. Invariance xác nhận ở privacy mạnh nhất.</t>
        </is>
      </c>
      <c r="F36" s="61" t="n"/>
      <c r="G36" s="60" t="n"/>
    </row>
    <row r="37">
      <c r="A37" s="81" t="n">
        <v>20</v>
      </c>
      <c r="B37" s="73" t="n">
        <v>1.83</v>
      </c>
      <c r="C37" s="73" t="n">
        <v>62</v>
      </c>
      <c r="D37" s="73" t="n">
        <v>62</v>
      </c>
      <c r="E37" s="74" t="inlineStr">
        <is>
          <t>✅ XONG — = pretrained (đã có checkpoint + eval)</t>
        </is>
      </c>
      <c r="F37" s="61" t="n"/>
      <c r="G37" s="60" t="n"/>
    </row>
    <row r="38" ht="30" customHeight="1" s="49">
      <c r="A38" s="81" t="n">
        <v>50</v>
      </c>
      <c r="B38" s="73" t="n">
        <v>1.05</v>
      </c>
      <c r="C38" s="73" t="n">
        <v>62</v>
      </c>
      <c r="D38" s="73" t="n">
        <v>62</v>
      </c>
      <c r="E38" s="74" t="inlineStr">
        <is>
          <t>✅ ĐO THẬT: val H@1=62/MRR=48.47 · test H@1=62/MRR=46.88 = pretrained. σ=1.05 chưa phá invariance.</t>
        </is>
      </c>
      <c r="F38" s="61" t="n"/>
      <c r="G38" s="60" t="n"/>
    </row>
    <row r="39" ht="44" customHeight="1" s="49">
      <c r="A39" s="81" t="n">
        <v>100</v>
      </c>
      <c r="B39" s="73" t="n">
        <v>0.73</v>
      </c>
      <c r="C39" s="73" t="n">
        <v>62</v>
      </c>
      <c r="D39" s="73" t="n">
        <v>62</v>
      </c>
      <c r="E39" s="74" t="inlineStr">
        <is>
          <t>✅ ĐO THẬT: val H@1=62/MRR=48.47 · test H@1=62/MRR=47.03 = pretrained. σ=0.73 (nhiễu yếu nhất) VẪN không phá invariance → không có 'cliff' trong dải [1,100].</t>
        </is>
      </c>
      <c r="F39" s="61" t="n"/>
      <c r="G39" s="60" t="n"/>
    </row>
    <row r="40" ht="60" customHeight="1" s="49">
      <c r="A40" s="75" t="inlineStr">
        <is>
          <t>✅ ε-SWEEP HOÀN TẤT (2026-07-04): Hit@1 PHẲNG ở 62 toàn dải ε∈[1,100] = pretrained → KHÔNG có 'cliff'. lora_B std tăng ĐƠN ĐIỆU theo ε (2.47→2.55→2.70→2.89 e-04 khi σ 28→0.73) — trọng số nhích dần khi nhiễu yếu đi (khớp cơ chế AdamW), nhưng LUÔN &lt; ngưỡng học 1e-3 (~6-10× thấp hơn). MRR test cũng nhích nhẹ 46.80→47.03. ⇒ Cần ε ≫ 100 mới có khả năng phá invariance.</t>
        </is>
      </c>
      <c r="B40" s="61" t="n"/>
      <c r="C40" s="61" t="n"/>
      <c r="D40" s="61" t="n"/>
      <c r="E40" s="61" t="n"/>
      <c r="F40" s="61" t="n"/>
      <c r="G40" s="60" t="n"/>
    </row>
    <row r="42">
      <c r="A42" s="56" t="inlineStr">
        <is>
          <t>8 · KẾT LUẬN &amp; TIẾN ĐỘ  (framing chính xác — thay cho 'giảm 10–15%')</t>
        </is>
      </c>
      <c r="B42" s="61" t="n"/>
      <c r="C42" s="61" t="n"/>
      <c r="D42" s="61" t="n"/>
      <c r="E42" s="61" t="n"/>
      <c r="F42" s="61" t="n"/>
      <c r="G42" s="60" t="n"/>
    </row>
    <row r="43" ht="130" customHeight="1" s="49">
      <c r="A43" s="57" t="inlineStr">
        <is>
          <t>1) DP retention ≈ 100%: DP ε=20 ≡ pretrained (bit-identical) → chi phí privacy ~0% trên giao thức paper.
2) DP &gt; Non-DP: Non-DP fine-tune GIẢM do overfit data 5-cty; DP hơn +4–6% Hit@1 trên test out-of-domain.
3) Khoảng cách tới 87% của paper CHỦ YẾU do KHÁC GIAO THỨC đo (append refs + Recall@K + query-expansion).
4) lora_B std: DP = 2.5e-04 vs Non-DP ≈ 1.7e-3 → xác nhận AdamW invariance.
5) Caveat: n = 50/100 nhỏ; QE3 ngẫu nhiên → nên báo cáo khoảng tin cậy.
6) ★ ε-SWEEP [1,100] ĐO THẬT: Hit@1 phẳng 62 toàn dải → DP 'miễn phí' bất kể ε; lora_B std chỉ nhích 2.47→2.89e-04 (luôn &lt;1e-3). Không có cliff → invariance cực bền.</t>
        </is>
      </c>
      <c r="B43" s="61" t="n"/>
      <c r="C43" s="61" t="n"/>
      <c r="D43" s="61" t="n"/>
      <c r="E43" s="61" t="n"/>
      <c r="F43" s="61" t="n"/>
      <c r="G43" s="60" t="n"/>
    </row>
    <row r="45">
      <c r="A45" s="56" t="inlineStr">
        <is>
          <t>9 · VIỆC CÒN LẠI</t>
        </is>
      </c>
      <c r="B45" s="61" t="n"/>
      <c r="C45" s="61" t="n"/>
      <c r="D45" s="61" t="n"/>
      <c r="E45" s="61" t="n"/>
      <c r="F45" s="61" t="n"/>
      <c r="G45" s="60" t="n"/>
    </row>
    <row r="46" ht="92" customHeight="1" s="49">
      <c r="A46" s="85" t="inlineStr">
        <is>
          <t>✅ (a) Eval ε=1 — XONG (62/62 = pretrained).
✅ (b) Train + eval ε=50, ε=100 — XONG trên Ryzen 5 3600 (Vast.ai), ~2h15m/ε, không bottleneck.
✅ (c) Đường cong privacy–utility — XONG (xem §10 bên dưới).
☐ (d) (tùy chọn) thêm Recall@k / NDCG + bootstrap CI cho n nhỏ.
☐ (e) (tùy chọn) hình publication-quality (matplotlib PNG) cho paper.</t>
        </is>
      </c>
      <c r="B46" s="61" t="n"/>
      <c r="C46" s="61" t="n"/>
      <c r="D46" s="61" t="n"/>
      <c r="E46" s="61" t="n"/>
      <c r="F46" s="61" t="n"/>
      <c r="G46" s="60" t="n"/>
    </row>
    <row r="48">
      <c r="A48" s="56" t="inlineStr">
        <is>
          <t>10 · BIỂU ĐỒ PRIVACY–UTILITY (dữ liệu đo thật, paper-protocol + LlamaIndex)</t>
        </is>
      </c>
      <c r="B48" s="61" t="n"/>
      <c r="C48" s="61" t="n"/>
      <c r="D48" s="61" t="n"/>
      <c r="E48" s="61" t="n"/>
      <c r="F48" s="61" t="n"/>
      <c r="G48" s="60" t="n"/>
    </row>
    <row r="49">
      <c r="A49" s="86" t="inlineStr">
        <is>
          <t>ε</t>
        </is>
      </c>
      <c r="B49" s="86" t="inlineStr">
        <is>
          <t>DP fine-tune</t>
        </is>
      </c>
      <c r="C49" s="86" t="inlineStr">
        <is>
          <t>Non-DP (ref)</t>
        </is>
      </c>
      <c r="D49" s="86" t="inlineStr">
        <is>
          <t>Paper claim</t>
        </is>
      </c>
      <c r="E49" s="86" t="inlineStr">
        <is>
          <t>lora_B std</t>
        </is>
      </c>
      <c r="F49" s="86" t="inlineStr">
        <is>
          <t>σ</t>
        </is>
      </c>
    </row>
    <row r="50">
      <c r="A50" s="87" t="n">
        <v>1</v>
      </c>
      <c r="B50" s="87" t="n">
        <v>62</v>
      </c>
      <c r="C50" s="87" t="n">
        <v>56</v>
      </c>
      <c r="D50" s="87" t="n">
        <v>73</v>
      </c>
      <c r="E50" s="88" t="n">
        <v>0.0002466</v>
      </c>
      <c r="F50" s="87" t="n">
        <v>28.13</v>
      </c>
    </row>
    <row r="51">
      <c r="A51" s="87" t="n">
        <v>20</v>
      </c>
      <c r="B51" s="87" t="n">
        <v>62</v>
      </c>
      <c r="C51" s="87" t="n">
        <v>56</v>
      </c>
      <c r="D51" s="87" t="n">
        <v>73</v>
      </c>
      <c r="E51" s="88" t="n">
        <v>0.000255</v>
      </c>
      <c r="F51" s="87" t="n">
        <v>1.83</v>
      </c>
    </row>
    <row r="52">
      <c r="A52" s="87" t="n">
        <v>50</v>
      </c>
      <c r="B52" s="87" t="n">
        <v>62</v>
      </c>
      <c r="C52" s="87" t="n">
        <v>56</v>
      </c>
      <c r="D52" s="87" t="n">
        <v>73</v>
      </c>
      <c r="E52" s="88" t="n">
        <v>0.0002696</v>
      </c>
      <c r="F52" s="87" t="n">
        <v>1.05</v>
      </c>
    </row>
    <row r="53">
      <c r="A53" s="87" t="n">
        <v>100</v>
      </c>
      <c r="B53" s="87" t="n">
        <v>62</v>
      </c>
      <c r="C53" s="87" t="n">
        <v>56</v>
      </c>
      <c r="D53" s="87" t="n">
        <v>73</v>
      </c>
      <c r="E53" s="88" t="n">
        <v>0.0002892</v>
      </c>
      <c r="F53" s="87" t="n">
        <v>0.73</v>
      </c>
    </row>
    <row r="54">
      <c r="A54" s="89" t="inlineStr">
        <is>
          <t>DP fine-tune = pretrained (trùng đường). Non-DP &amp; Paper là mốc tham chiếu (không phụ thuộc ε).</t>
        </is>
      </c>
    </row>
    <row r="56">
      <c r="A56" s="56" t="inlineStr">
        <is>
          <t>11 · ABLATION STUDY (Khung 1) — loại bỏ từng thành phần recipe</t>
        </is>
      </c>
      <c r="B56" s="61" t="n"/>
      <c r="C56" s="61" t="n"/>
      <c r="D56" s="61" t="n"/>
      <c r="E56" s="61" t="n"/>
      <c r="F56" s="61" t="n"/>
      <c r="G56" s="60" t="n"/>
    </row>
    <row r="57">
      <c r="A57" s="90" t="inlineStr">
        <is>
          <t>Đo thật 2026-07-05 (Xeon Gold, paper-protocol+LI). Ma trận 2×2 DP×PEFT + ablation KD.</t>
        </is>
      </c>
    </row>
    <row r="58">
      <c r="A58" s="59" t="inlineStr">
        <is>
          <t>Val H@1 / Test H@1</t>
        </is>
      </c>
      <c r="B58" s="59" t="inlineStr">
        <is>
          <t>LoRA (+PEFT)</t>
        </is>
      </c>
      <c r="C58" s="59" t="inlineStr">
        <is>
          <t>full-FT (−PEFT)</t>
        </is>
      </c>
    </row>
    <row r="59">
      <c r="A59" s="91" t="inlineStr">
        <is>
          <t>+DP (ε=20)</t>
        </is>
      </c>
      <c r="B59" s="73" t="inlineStr">
        <is>
          <t>62 / 62  (C)</t>
        </is>
      </c>
      <c r="C59" s="73" t="inlineStr">
        <is>
          <t>60 / 60  (D)</t>
        </is>
      </c>
    </row>
    <row r="60">
      <c r="A60" s="91" t="inlineStr">
        <is>
          <t>−DP</t>
        </is>
      </c>
      <c r="B60" s="77" t="inlineStr">
        <is>
          <t>58 / 56  (C'/B)</t>
        </is>
      </c>
      <c r="C60" s="70" t="inlineStr">
        <is>
          <t>36 / 54  (D')</t>
        </is>
      </c>
    </row>
    <row r="61">
      <c r="A61" s="91" t="inlineStr">
        <is>
          <t>Pretrained</t>
        </is>
      </c>
      <c r="B61" s="92" t="inlineStr">
        <is>
          <t>62 / 62</t>
        </is>
      </c>
      <c r="C61" s="92" t="inlineStr">
        <is>
          <t>—</t>
        </is>
      </c>
    </row>
    <row r="63">
      <c r="A63" s="86" t="inlineStr">
        <is>
          <t>Cell</t>
        </is>
      </c>
      <c r="B63" s="86" t="inlineStr">
        <is>
          <t>Recipe</t>
        </is>
      </c>
      <c r="C63" s="86" t="inlineStr">
        <is>
          <t>Val H@1</t>
        </is>
      </c>
      <c r="D63" s="86" t="inlineStr">
        <is>
          <t>Val MRR</t>
        </is>
      </c>
      <c r="E63" s="86" t="inlineStr">
        <is>
          <t>Test H@1</t>
        </is>
      </c>
      <c r="F63" s="86" t="inlineStr">
        <is>
          <t>Test MRR</t>
        </is>
      </c>
      <c r="G63" s="86" t="inlineStr">
        <is>
          <t>Ghi chú</t>
        </is>
      </c>
    </row>
    <row r="64">
      <c r="A64" s="93" t="inlineStr">
        <is>
          <t>Pretrained</t>
        </is>
      </c>
      <c r="B64" s="94" t="inlineStr">
        <is>
          <t>BGE + LI (không train)</t>
        </is>
      </c>
      <c r="C64" s="95" t="n">
        <v>62</v>
      </c>
      <c r="D64" s="95" t="n">
        <v>48.47</v>
      </c>
      <c r="E64" s="95" t="n">
        <v>62</v>
      </c>
      <c r="F64" s="95" t="n">
        <v>46.8</v>
      </c>
      <c r="G64" s="94" t="inlineStr">
        <is>
          <t>mốc chuẩn</t>
        </is>
      </c>
    </row>
    <row r="65">
      <c r="A65" s="93" t="inlineStr">
        <is>
          <t>B</t>
        </is>
      </c>
      <c r="B65" s="94" t="inlineStr">
        <is>
          <t>nonDP LoRA +KD</t>
        </is>
      </c>
      <c r="C65" s="95" t="n">
        <v>58</v>
      </c>
      <c r="D65" s="95" t="n">
        <v>50.97</v>
      </c>
      <c r="E65" s="95" t="n">
        <v>56</v>
      </c>
      <c r="F65" s="95" t="n">
        <v>44.71</v>
      </c>
      <c r="G65" s="94" t="inlineStr">
        <is>
          <t>có sẵn (Run 10)</t>
        </is>
      </c>
    </row>
    <row r="66">
      <c r="A66" s="93" t="inlineStr">
        <is>
          <t>C'</t>
        </is>
      </c>
      <c r="B66" s="94" t="inlineStr">
        <is>
          <t>nonDP LoRA −KD</t>
        </is>
      </c>
      <c r="C66" s="95" t="n">
        <v>58</v>
      </c>
      <c r="D66" s="95" t="n">
        <v>48.14</v>
      </c>
      <c r="E66" s="95" t="n">
        <v>56</v>
      </c>
      <c r="F66" s="95" t="n">
        <v>43.44</v>
      </c>
      <c r="G66" s="94" t="inlineStr">
        <is>
          <t>≈ B → KD-GLE gần vô dụng</t>
        </is>
      </c>
    </row>
    <row r="67">
      <c r="A67" s="96" t="inlineStr">
        <is>
          <t>D'</t>
        </is>
      </c>
      <c r="B67" s="97" t="inlineStr">
        <is>
          <t>nonDP full-FT (−PEFT)</t>
        </is>
      </c>
      <c r="C67" s="98" t="n">
        <v>36</v>
      </c>
      <c r="D67" s="98" t="n">
        <v>29.62</v>
      </c>
      <c r="E67" s="98" t="n">
        <v>54</v>
      </c>
      <c r="F67" s="98" t="n">
        <v>39.62</v>
      </c>
      <c r="G67" s="97" t="inlineStr">
        <is>
          <t>⬇⬇ overfit nặng (val sập 36)</t>
        </is>
      </c>
    </row>
    <row r="68">
      <c r="A68" s="99" t="inlineStr">
        <is>
          <t>C</t>
        </is>
      </c>
      <c r="B68" s="100" t="inlineStr">
        <is>
          <t>DP LoRA −KD</t>
        </is>
      </c>
      <c r="C68" s="101" t="n">
        <v>62</v>
      </c>
      <c r="D68" s="101" t="n">
        <v>48.47</v>
      </c>
      <c r="E68" s="101" t="n">
        <v>62</v>
      </c>
      <c r="F68" s="101" t="n">
        <v>46.8</v>
      </c>
      <c r="G68" s="100">
        <f> pretrained (invariance)</f>
        <v/>
      </c>
    </row>
    <row r="69">
      <c r="A69" s="99" t="inlineStr">
        <is>
          <t>D</t>
        </is>
      </c>
      <c r="B69" s="100" t="inlineStr">
        <is>
          <t>DP full-FT (−PEFT)</t>
        </is>
      </c>
      <c r="C69" s="101" t="n">
        <v>60</v>
      </c>
      <c r="D69" s="101" t="n">
        <v>49.97</v>
      </c>
      <c r="E69" s="101" t="n">
        <v>60</v>
      </c>
      <c r="F69" s="101" t="n">
        <v>46.99</v>
      </c>
      <c r="G69" s="100" t="inlineStr">
        <is>
          <t>DP cứu full-FT: 36→60 (+24 val)</t>
        </is>
      </c>
    </row>
    <row r="71" ht="64" customHeight="1" s="49">
      <c r="A71" s="102" t="inlineStr">
        <is>
          <t>KẾT LUẬN ABLATION: (1) DP là REGULARIZER mạnh — kéo cả LoRA (62) lẫn full-FT (60) về ≈ pretrained. (2) DP quan trọng NHẤT khi capacity cao: full-FT val 36→60 (+24) nhờ DP, vs LoRA 58→62 (+4). (3) PEFT (LoRA) tự nó cũng regularize: kể cả không DP, LoRA (58) ≫ full-FT (36). (4) KD-GLE gần như vô dụng (C'≈B). ⇒ Phổ ràng buộc: full-FT&lt;LoRA&lt;DP; càng ràng buộc càng giữ chất lượng.</t>
        </is>
      </c>
      <c r="B71" s="61" t="n"/>
      <c r="C71" s="61" t="n"/>
      <c r="D71" s="61" t="n"/>
      <c r="E71" s="61" t="n"/>
      <c r="F71" s="61" t="n"/>
      <c r="G71" s="60" t="n"/>
    </row>
    <row r="73">
      <c r="A73" s="56" t="inlineStr">
        <is>
          <t>12 · BỘ CHỈ SỐ ĐẦY ĐỦ (parity với paper) — TEST split, đo thật 2026-07-06</t>
        </is>
      </c>
      <c r="B73" s="54" t="n"/>
      <c r="C73" s="54" t="n"/>
      <c r="D73" s="54" t="n"/>
      <c r="E73" s="54" t="n"/>
      <c r="F73" s="54" t="n"/>
      <c r="G73" s="54" t="n"/>
      <c r="H73" s="54" t="n"/>
    </row>
    <row r="74">
      <c r="A74" s="90" t="inlineStr">
        <is>
          <t>Hit@1/3/5/10 (paper def) · MRR · MAP · NDCG@10 · EM · Recall/Precision@{1,5,10}. Lưu ý: Hit@3=Hit@5=Hit@10 (do def paper + đa số query ≤3 golden) → dùng NDCG/MAP/Recall để phân biệt.</t>
        </is>
      </c>
    </row>
    <row r="75">
      <c r="A75" s="86" t="inlineStr">
        <is>
          <t>Config (test n=100)</t>
        </is>
      </c>
      <c r="B75" s="86" t="inlineStr">
        <is>
          <t>Hit@1</t>
        </is>
      </c>
      <c r="C75" s="86" t="inlineStr">
        <is>
          <t>Hit@10</t>
        </is>
      </c>
      <c r="D75" s="86" t="inlineStr">
        <is>
          <t>MRR</t>
        </is>
      </c>
      <c r="E75" s="86" t="inlineStr">
        <is>
          <t>MAP</t>
        </is>
      </c>
      <c r="F75" s="86" t="inlineStr">
        <is>
          <t>NDCG@10</t>
        </is>
      </c>
      <c r="G75" s="86" t="inlineStr">
        <is>
          <t>Recall@10</t>
        </is>
      </c>
      <c r="H75" s="86" t="inlineStr">
        <is>
          <t>EM</t>
        </is>
      </c>
    </row>
    <row r="76">
      <c r="A76" s="103" t="inlineStr">
        <is>
          <t>Pretrained</t>
        </is>
      </c>
      <c r="B76" s="104" t="n">
        <v>62</v>
      </c>
      <c r="C76" s="104" t="n">
        <v>71</v>
      </c>
      <c r="D76" s="104" t="n">
        <v>46.8</v>
      </c>
      <c r="E76" s="104" t="n">
        <v>49.31</v>
      </c>
      <c r="F76" s="104" t="n">
        <v>53.85</v>
      </c>
      <c r="G76" s="104" t="n">
        <v>66</v>
      </c>
      <c r="H76" s="104" t="n">
        <v>31</v>
      </c>
    </row>
    <row r="77">
      <c r="A77" s="105" t="inlineStr">
        <is>
          <t>DP ε=1</t>
        </is>
      </c>
      <c r="B77" s="95" t="n">
        <v>62</v>
      </c>
      <c r="C77" s="95" t="n">
        <v>71</v>
      </c>
      <c r="D77" s="95" t="n">
        <v>46.8</v>
      </c>
      <c r="E77" s="95" t="n">
        <v>49.31</v>
      </c>
      <c r="F77" s="95" t="n">
        <v>53.85</v>
      </c>
      <c r="G77" s="95" t="n">
        <v>66</v>
      </c>
      <c r="H77" s="95" t="n">
        <v>31</v>
      </c>
    </row>
    <row r="78">
      <c r="A78" s="105" t="inlineStr">
        <is>
          <t>DP ε=20</t>
        </is>
      </c>
      <c r="B78" s="95" t="n">
        <v>62</v>
      </c>
      <c r="C78" s="95" t="n">
        <v>71</v>
      </c>
      <c r="D78" s="95" t="n">
        <v>46.8</v>
      </c>
      <c r="E78" s="95" t="n">
        <v>49.26</v>
      </c>
      <c r="F78" s="95" t="n">
        <v>53.83</v>
      </c>
      <c r="G78" s="95" t="n">
        <v>66</v>
      </c>
      <c r="H78" s="95" t="n">
        <v>31</v>
      </c>
    </row>
    <row r="79">
      <c r="A79" s="105" t="inlineStr">
        <is>
          <t>DP ε=50</t>
        </is>
      </c>
      <c r="B79" s="95" t="n">
        <v>62</v>
      </c>
      <c r="C79" s="95" t="n">
        <v>71</v>
      </c>
      <c r="D79" s="95" t="n">
        <v>46.88</v>
      </c>
      <c r="E79" s="95" t="n">
        <v>49.35</v>
      </c>
      <c r="F79" s="95" t="n">
        <v>53.9</v>
      </c>
      <c r="G79" s="95" t="n">
        <v>66</v>
      </c>
      <c r="H79" s="95" t="n">
        <v>31</v>
      </c>
    </row>
    <row r="80">
      <c r="A80" s="106" t="inlineStr">
        <is>
          <t>DP ε=100</t>
        </is>
      </c>
      <c r="B80" s="101" t="n">
        <v>62</v>
      </c>
      <c r="C80" s="101" t="n">
        <v>71</v>
      </c>
      <c r="D80" s="101" t="n">
        <v>47.03</v>
      </c>
      <c r="E80" s="101" t="n">
        <v>49.5</v>
      </c>
      <c r="F80" s="101" t="n">
        <v>54.02</v>
      </c>
      <c r="G80" s="101" t="n">
        <v>66</v>
      </c>
      <c r="H80" s="101" t="n">
        <v>31</v>
      </c>
    </row>
    <row r="81">
      <c r="A81" s="105" t="inlineStr">
        <is>
          <t>Abl: nonDP LoRA −KD</t>
        </is>
      </c>
      <c r="B81" s="95" t="n">
        <v>56</v>
      </c>
      <c r="C81" s="95" t="n">
        <v>66</v>
      </c>
      <c r="D81" s="95" t="n">
        <v>43.44</v>
      </c>
      <c r="E81" s="95" t="n">
        <v>45.6</v>
      </c>
      <c r="F81" s="95" t="n">
        <v>50.09</v>
      </c>
      <c r="G81" s="95" t="n">
        <v>61</v>
      </c>
      <c r="H81" s="95" t="n">
        <v>28</v>
      </c>
    </row>
    <row r="82">
      <c r="A82" s="107" t="inlineStr">
        <is>
          <t>Abl: nonDP full-FT</t>
        </is>
      </c>
      <c r="B82" s="98" t="n">
        <v>54</v>
      </c>
      <c r="C82" s="98" t="n">
        <v>59</v>
      </c>
      <c r="D82" s="98" t="n">
        <v>39.62</v>
      </c>
      <c r="E82" s="98" t="n">
        <v>38.93</v>
      </c>
      <c r="F82" s="98" t="n">
        <v>43.57</v>
      </c>
      <c r="G82" s="98" t="n">
        <v>54.33</v>
      </c>
      <c r="H82" s="98" t="n">
        <v>25</v>
      </c>
    </row>
    <row r="83">
      <c r="A83" s="106" t="inlineStr">
        <is>
          <t>Abl: DP LoRA −KD</t>
        </is>
      </c>
      <c r="B83" s="101" t="n">
        <v>62</v>
      </c>
      <c r="C83" s="101" t="n">
        <v>71</v>
      </c>
      <c r="D83" s="101" t="n">
        <v>46.8</v>
      </c>
      <c r="E83" s="101" t="n">
        <v>49.26</v>
      </c>
      <c r="F83" s="101" t="n">
        <v>53.83</v>
      </c>
      <c r="G83" s="101" t="n">
        <v>66</v>
      </c>
      <c r="H83" s="101" t="n">
        <v>31</v>
      </c>
    </row>
    <row r="84">
      <c r="A84" s="106" t="inlineStr">
        <is>
          <t>Abl: DP full-FT</t>
        </is>
      </c>
      <c r="B84" s="101" t="n">
        <v>60</v>
      </c>
      <c r="C84" s="101" t="n">
        <v>70</v>
      </c>
      <c r="D84" s="101" t="n">
        <v>46.99</v>
      </c>
      <c r="E84" s="101" t="n">
        <v>48.8</v>
      </c>
      <c r="F84" s="101" t="n">
        <v>53.33</v>
      </c>
      <c r="G84" s="101" t="n">
        <v>64.5</v>
      </c>
      <c r="H84" s="101" t="n">
        <v>28</v>
      </c>
    </row>
    <row r="86" ht="64" customHeight="1" s="49">
      <c r="A86" s="102" t="inlineStr">
        <is>
          <t>★ PHÁT HIỆN (trả lời 'đánh giá thiếu giá trị'): DP full-FT có Hit@1=60 (&lt; pretrained 62) TRÔNG như kém hơn, NHƯNG trên VAL nó MRR=49.97 / NDCG=50.17 / MAP=45.22 / Recall@1=35 / Precision@1=42 — ĐỀU CAO HƠN pretrained (48.47/49.10/43.80/33/40). ⇒ Chỉ nhìn Hit@1 đã ĐÁNH GIÁ THẤP method; NDCG/MAP/MRR mới lộ đúng giá trị. Non-DP full-FT thì sập ĐỒNG LOẠT mọi chỉ số (NDCG 29, MAP 25 trên val) — xác nhận overfit.</t>
        </is>
      </c>
      <c r="B86" s="54" t="n"/>
      <c r="C86" s="54" t="n"/>
      <c r="D86" s="54" t="n"/>
      <c r="E86" s="54" t="n"/>
      <c r="F86" s="54" t="n"/>
      <c r="G86" s="54" t="n"/>
      <c r="H86" s="54" t="n"/>
    </row>
  </sheetData>
  <mergeCells count="39">
    <mergeCell ref="A54:F54"/>
    <mergeCell ref="B16:C16"/>
    <mergeCell ref="A8:G8"/>
    <mergeCell ref="A73:H73"/>
    <mergeCell ref="A4:G4"/>
    <mergeCell ref="D15:G15"/>
    <mergeCell ref="A42:G42"/>
    <mergeCell ref="A43:G43"/>
    <mergeCell ref="A19:G19"/>
    <mergeCell ref="D14:G14"/>
    <mergeCell ref="A10:G10"/>
    <mergeCell ref="A13:G13"/>
    <mergeCell ref="E36:G36"/>
    <mergeCell ref="A40:G40"/>
    <mergeCell ref="A34:G34"/>
    <mergeCell ref="A48:G48"/>
    <mergeCell ref="A24:G24"/>
    <mergeCell ref="B14:C14"/>
    <mergeCell ref="B17:C17"/>
    <mergeCell ref="A11:G11"/>
    <mergeCell ref="A45:G45"/>
    <mergeCell ref="A74:H74"/>
    <mergeCell ref="A1:G1"/>
    <mergeCell ref="E38:G38"/>
    <mergeCell ref="A86:H86"/>
    <mergeCell ref="E37:G37"/>
    <mergeCell ref="A7:G7"/>
    <mergeCell ref="A46:G46"/>
    <mergeCell ref="D17:G17"/>
    <mergeCell ref="B15:C15"/>
    <mergeCell ref="A56:G56"/>
    <mergeCell ref="E39:G39"/>
    <mergeCell ref="D16:G16"/>
    <mergeCell ref="A26:G26"/>
    <mergeCell ref="A2:G2"/>
    <mergeCell ref="E35:G35"/>
    <mergeCell ref="A57:G57"/>
    <mergeCell ref="A71:G71"/>
    <mergeCell ref="A5:G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2025-10-27T02:52:22Z</dcterms:created>
  <dcterms:modified xmlns:dcterms="http://purl.org/dc/terms/" xmlns:xsi="http://www.w3.org/2001/XMLSchema-instance" xsi:type="dcterms:W3CDTF">2026-07-06T16:02:17Z</dcterms:modified>
</cp:coreProperties>
</file>